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angPhat" sheetId="1" state="visible" r:id="rId3"/>
  </sheets>
  <definedNames>
    <definedName function="false" hidden="true" localSheetId="0" name="_xlnm._FilterDatabase" vbProcedure="false">HoangPhat!$A$9:$G$427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<sst xmlns="http://schemas.openxmlformats.org/spreadsheetml/2006/main" count="1108" uniqueCount="729">
  <si>
    <t xml:space="preserve">CÔNG TY CP THƯƠNG MẠI DỊCH VỤ HOÀNG PHÁT QUẢNG NINH</t>
  </si>
  <si>
    <t xml:space="preserve">Mã số thuế: 5701775861</t>
  </si>
  <si>
    <t xml:space="preserve">Địa chỉ: Tổ 6, Khu 4, P.Bãi Cháy, Tp. Hạ Long,  Quảng Ninh</t>
  </si>
  <si>
    <t xml:space="preserve">BẢNG BÁO GIÁ THÁNG 07/2025</t>
  </si>
  <si>
    <t xml:space="preserve">Kính gửi: ANGSANA QUAN LẠN HẠ LONG BAY HOTEL &amp; RESORT – </t>
  </si>
  <si>
    <t xml:space="preserve">CHI NHÁNH CÔNG TY CỔ PHẦN VIGLACERA VÂN HẢI</t>
  </si>
  <si>
    <t xml:space="preserve">Công ty CP thương mại dịch vụ Hoàng Phát Quảng Ninh xin trân trọng báo giá các sản phẩm sau:</t>
  </si>
  <si>
    <t xml:space="preserve">STT</t>
  </si>
  <si>
    <t xml:space="preserve">ID</t>
  </si>
  <si>
    <t xml:space="preserve">Article Number</t>
  </si>
  <si>
    <t xml:space="preserve">Article Name</t>
  </si>
  <si>
    <t xml:space="preserve">Purchase Unit</t>
  </si>
  <si>
    <t xml:space="preserve">Price new</t>
  </si>
  <si>
    <t xml:space="preserve">Ghi chú</t>
  </si>
  <si>
    <t xml:space="preserve">Baking soda powder 454g/ bot baking soda 454g</t>
  </si>
  <si>
    <t xml:space="preserve">pack 454gr</t>
  </si>
  <si>
    <t xml:space="preserve">102126</t>
  </si>
  <si>
    <t xml:space="preserve">Beef-Dry beef /bag/ Bo Kho</t>
  </si>
  <si>
    <t xml:space="preserve">Kilogram</t>
  </si>
  <si>
    <t xml:space="preserve">Black Glass Jelly 50g/suong sao den 50g</t>
  </si>
  <si>
    <t xml:space="preserve">Pack 50gr</t>
  </si>
  <si>
    <t xml:space="preserve">Chinese Jujube apple /Tao do kho</t>
  </si>
  <si>
    <t xml:space="preserve">Cream Anchor - Extra Yield Cook 12X1L/ Hộp Kem nau Anchor 1</t>
  </si>
  <si>
    <t xml:space="preserve">Btl 1 Liter</t>
  </si>
  <si>
    <t xml:space="preserve">Cream pump bag/ Tui bom kem</t>
  </si>
  <si>
    <t xml:space="preserve">Dried shitake mushroom dried/Nam Huong</t>
  </si>
  <si>
    <t xml:space="preserve">Dry Good Cracker Prawn / Phong Tom 100gr</t>
  </si>
  <si>
    <t xml:space="preserve">Pack 100gr</t>
  </si>
  <si>
    <t xml:space="preserve">123145</t>
  </si>
  <si>
    <t xml:space="preserve">Fish Flies/ Ca ruoi</t>
  </si>
  <si>
    <t xml:space="preserve">Fresh milk 1 liter anchor without sugar/ Sua tuoi 1l anchor</t>
  </si>
  <si>
    <t xml:space="preserve">Bottle 1000ml</t>
  </si>
  <si>
    <t xml:space="preserve">123141</t>
  </si>
  <si>
    <t xml:space="preserve">Fresh Shrimp-Shrimp Mantis Lv 15-17 Pcs/Kg/ BE BE</t>
  </si>
  <si>
    <t xml:space="preserve">121106</t>
  </si>
  <si>
    <t xml:space="preserve">Freshwater plaice/ Ca chim nuoc ngot nguyen con</t>
  </si>
  <si>
    <t xml:space="preserve">124005</t>
  </si>
  <si>
    <t xml:space="preserve">Fried fish grilled chopped fish/ Cha ca</t>
  </si>
  <si>
    <t xml:space="preserve">131121</t>
  </si>
  <si>
    <t xml:space="preserve">Fruit-Fru Kumquat/ trai quat</t>
  </si>
  <si>
    <t xml:space="preserve">131120</t>
  </si>
  <si>
    <t xml:space="preserve">Fruit-Fru Watermelon round/Dua Hau Đo Tron</t>
  </si>
  <si>
    <t xml:space="preserve">Ground pepper/ tieu xay</t>
  </si>
  <si>
    <t xml:space="preserve">121107</t>
  </si>
  <si>
    <t xml:space="preserve">Local gourami fish/ Ca duc dia phuong</t>
  </si>
  <si>
    <t xml:space="preserve">152048</t>
  </si>
  <si>
    <t xml:space="preserve">Nut Lotus Seed Dried/ Hat Sen Kho</t>
  </si>
  <si>
    <t xml:space="preserve">Oil Sesame Meizan 250ML/Dau me thom Meizan 250ml</t>
  </si>
  <si>
    <t xml:space="preserve">Bottle 250ml</t>
  </si>
  <si>
    <t xml:space="preserve">121108</t>
  </si>
  <si>
    <t xml:space="preserve">Perch/ Ca ro</t>
  </si>
  <si>
    <t xml:space="preserve">105009</t>
  </si>
  <si>
    <t xml:space="preserve">Pork-Bacon/ Ba chi xong khoi</t>
  </si>
  <si>
    <t xml:space="preserve">Powder Crispy Tai Ky VN 1Kg/ Bot Chien Gion VN 1Kg</t>
  </si>
  <si>
    <t xml:space="preserve">Pack 1kg</t>
  </si>
  <si>
    <t xml:space="preserve">Socola chip 2.5kg/ Socola chip 2.5kg</t>
  </si>
  <si>
    <t xml:space="preserve">Pack 2.5kg</t>
  </si>
  <si>
    <t xml:space="preserve">Sugar Rock/ duong phen</t>
  </si>
  <si>
    <t xml:space="preserve">151204</t>
  </si>
  <si>
    <t xml:space="preserve">Veg Herb Rosemary/ cay huong thao</t>
  </si>
  <si>
    <t xml:space="preserve">151205</t>
  </si>
  <si>
    <t xml:space="preserve">Veg Thyme/ co xa huong</t>
  </si>
  <si>
    <t xml:space="preserve">White socola bars 2kg w 07/ Socola thanh trang 2kg w 07</t>
  </si>
  <si>
    <t xml:space="preserve">Pack 2kg</t>
  </si>
  <si>
    <t xml:space="preserve">Yellow Corn/ ngo vang</t>
  </si>
  <si>
    <t xml:space="preserve">"Phen" bien hoa sugar 1kg/Duong phen bien hoa 1kg</t>
  </si>
  <si>
    <t xml:space="preserve">Almond Powder 1kg/ Bot hanh nhan 1kg</t>
  </si>
  <si>
    <t xml:space="preserve">Almond Powder/ hanh nhan bot</t>
  </si>
  <si>
    <t xml:space="preserve">Almond Slice VN 1kg/ hanh nhan lat VN</t>
  </si>
  <si>
    <t xml:space="preserve">Anchor milk cream 1l (whipping cream)/ Kem sua anchor 1l</t>
  </si>
  <si>
    <t xml:space="preserve">Box 1Liter</t>
  </si>
  <si>
    <t xml:space="preserve">Anchor unsalted creamy butter (4x5kg)/ Bo lat anchor khoi</t>
  </si>
  <si>
    <t xml:space="preserve">Pack 5kg</t>
  </si>
  <si>
    <t xml:space="preserve">Apple / Tao Fuji NK Nam Phi (5-6 pcs/kg)</t>
  </si>
  <si>
    <t xml:space="preserve">Australian Orange/ Cam vang Uc 5trai/1kg</t>
  </si>
  <si>
    <t xml:space="preserve">Baking powder 1kg/ Bot noi lam banh baking powder 1kg</t>
  </si>
  <si>
    <t xml:space="preserve">Box 1kg</t>
  </si>
  <si>
    <t xml:space="preserve">152001</t>
  </si>
  <si>
    <t xml:space="preserve">Bean Black / Hat Dau den</t>
  </si>
  <si>
    <t xml:space="preserve">152004</t>
  </si>
  <si>
    <t xml:space="preserve">Beans Green W/O Cover/Dau Xanh Boc Vo</t>
  </si>
  <si>
    <t xml:space="preserve">102001</t>
  </si>
  <si>
    <t xml:space="preserve">Beef Bone Tube/ Xuong Ong Bo</t>
  </si>
  <si>
    <t xml:space="preserve">102027</t>
  </si>
  <si>
    <t xml:space="preserve">Beef Brisket Point End / Nac gau bo DL</t>
  </si>
  <si>
    <t xml:space="preserve">102004</t>
  </si>
  <si>
    <t xml:space="preserve">Beef Brisket/Gau Bo</t>
  </si>
  <si>
    <t xml:space="preserve">Beef Dried/Kho bo soi loai 2</t>
  </si>
  <si>
    <t xml:space="preserve">102002</t>
  </si>
  <si>
    <t xml:space="preserve">Beef Flank Local/Nam Bo</t>
  </si>
  <si>
    <t xml:space="preserve">102006</t>
  </si>
  <si>
    <t xml:space="preserve">Beef Ground/ Thit Bo xay</t>
  </si>
  <si>
    <t xml:space="preserve">102011</t>
  </si>
  <si>
    <t xml:space="preserve">Beef Local Rump / Thit mong bo qua tron</t>
  </si>
  <si>
    <t xml:space="preserve">102026</t>
  </si>
  <si>
    <t xml:space="preserve">Beef Minced / Nac bo xay DL</t>
  </si>
  <si>
    <t xml:space="preserve">102020</t>
  </si>
  <si>
    <t xml:space="preserve">Beef Rib US Frozen / Suon bo my DL</t>
  </si>
  <si>
    <t xml:space="preserve">105001</t>
  </si>
  <si>
    <t xml:space="preserve">Beef Rolls/Cha Bo</t>
  </si>
  <si>
    <t xml:space="preserve">Beef Short Plate/ Ba Chi Bo My DL</t>
  </si>
  <si>
    <t xml:space="preserve">Beef Short Rib Bone In/ Suon non Bo Co Xuong</t>
  </si>
  <si>
    <t xml:space="preserve">102005</t>
  </si>
  <si>
    <t xml:space="preserve">Beef Tenderloin Local/Thit Bo Fillet</t>
  </si>
  <si>
    <t xml:space="preserve">102003</t>
  </si>
  <si>
    <t xml:space="preserve">Beef Thigh Local / Bap bo hoa tron</t>
  </si>
  <si>
    <t xml:space="preserve">102057</t>
  </si>
  <si>
    <t xml:space="preserve">Beef-Heel Muscle/Bap hoa</t>
  </si>
  <si>
    <t xml:space="preserve">Bile leaf/ La moc mat</t>
  </si>
  <si>
    <t xml:space="preserve">Bread Crumbs 1Kg Panko/ Bot chien 1Kg Panko</t>
  </si>
  <si>
    <t xml:space="preserve">Bread Soffti/ Banh Mi tuoi Soffti 50gr</t>
  </si>
  <si>
    <t xml:space="preserve">Each</t>
  </si>
  <si>
    <t xml:space="preserve">Charcoal/ Than cui</t>
  </si>
  <si>
    <t xml:space="preserve">Chia Seed/ Hat chia</t>
  </si>
  <si>
    <t xml:space="preserve">111014</t>
  </si>
  <si>
    <t xml:space="preserve">Chicken Bone/Xuong Ga</t>
  </si>
  <si>
    <t xml:space="preserve">111003</t>
  </si>
  <si>
    <t xml:space="preserve">Chicken Drumstick Boneless/Dui Ga khong Xuong</t>
  </si>
  <si>
    <t xml:space="preserve">Chicken Drumstick/Dui toi Ga (4-5c/kg)</t>
  </si>
  <si>
    <t xml:space="preserve">173001</t>
  </si>
  <si>
    <t xml:space="preserve">Chicken Egg /Trung Ga</t>
  </si>
  <si>
    <t xml:space="preserve">173011</t>
  </si>
  <si>
    <t xml:space="preserve">Chicken egg CP 61-67gr/Trung ga CP 61-67gr</t>
  </si>
  <si>
    <t xml:space="preserve">111007</t>
  </si>
  <si>
    <t xml:space="preserve">Chicken Fillet breast/ Uc ga fillet</t>
  </si>
  <si>
    <t xml:space="preserve">111002</t>
  </si>
  <si>
    <t xml:space="preserve">Chicken Leg Quarter/Dui Ga Goc Tu</t>
  </si>
  <si>
    <t xml:space="preserve">Chicken Mid Wings/Canh ga khuc giua DL</t>
  </si>
  <si>
    <t xml:space="preserve">111012</t>
  </si>
  <si>
    <t xml:space="preserve">Chicken Whole Clean/ Ga trong lam sach (ga ta)</t>
  </si>
  <si>
    <t xml:space="preserve">111011</t>
  </si>
  <si>
    <t xml:space="preserve">Chicken Whole VN/Ga Ta nguyen Con lam sach 1.4kg/con</t>
  </si>
  <si>
    <t xml:space="preserve">111004</t>
  </si>
  <si>
    <t xml:space="preserve">Chicken Wings Indus/Canh Ga Cong Nghiep</t>
  </si>
  <si>
    <t xml:space="preserve">111022</t>
  </si>
  <si>
    <t xml:space="preserve">Chicken Wings, 3 joints/ Canh ga dong lanh</t>
  </si>
  <si>
    <t xml:space="preserve">Chinese medicine/ Thuoc Bac</t>
  </si>
  <si>
    <t xml:space="preserve">105003</t>
  </si>
  <si>
    <t xml:space="preserve">Cinamon pork steam / Cha que</t>
  </si>
  <si>
    <t xml:space="preserve">Cinnamon Bamboo Toothpicks/Tam tre</t>
  </si>
  <si>
    <t xml:space="preserve">Cinnamon/Que cay dang cuon</t>
  </si>
  <si>
    <t xml:space="preserve">152011</t>
  </si>
  <si>
    <t xml:space="preserve">Coconut Cream Wonderfarm 400ml/Nuoc Cot Dua</t>
  </si>
  <si>
    <t xml:space="preserve">Can 400ml</t>
  </si>
  <si>
    <t xml:space="preserve">131080</t>
  </si>
  <si>
    <t xml:space="preserve">Coconut/ Dua xiem</t>
  </si>
  <si>
    <t xml:space="preserve">Coffee G7 / Cafe G7 hoa tan den (Box 2grx50pcs)</t>
  </si>
  <si>
    <t xml:space="preserve">Box 50pcs</t>
  </si>
  <si>
    <t xml:space="preserve">Coffee G7 3 in 1 / Cafe G7 3 trong 1 (Box 21pcs)</t>
  </si>
  <si>
    <t xml:space="preserve">Box 21pcs</t>
  </si>
  <si>
    <t xml:space="preserve">Dong Trieu sticky rice/ Gao nep Dong Trieu</t>
  </si>
  <si>
    <t xml:space="preserve">dried Iron shrimp/Tom sat kho</t>
  </si>
  <si>
    <t xml:space="preserve">152006</t>
  </si>
  <si>
    <t xml:space="preserve">Dried Shallot/Hanh phi Kho</t>
  </si>
  <si>
    <t xml:space="preserve">Dried shrimps/ Tep kho</t>
  </si>
  <si>
    <t xml:space="preserve">Duck Breast fresh / Uc vit tuoi</t>
  </si>
  <si>
    <t xml:space="preserve">Duck removes neck and legs/ Vit bo co va chan</t>
  </si>
  <si>
    <t xml:space="preserve">112001</t>
  </si>
  <si>
    <t xml:space="preserve">Duck whole 2.2 - 3kg/pcs/ vit nguyen con lam sach</t>
  </si>
  <si>
    <t xml:space="preserve">Fami soy milk 220ml/ Sua dau nanh Fami</t>
  </si>
  <si>
    <t xml:space="preserve">Fish - Anabas Clenned / Ca ro lam sach 4-5con/kg</t>
  </si>
  <si>
    <t xml:space="preserve">121047</t>
  </si>
  <si>
    <t xml:space="preserve">Fish - Cobia fresh Fillet/ Ca bop Fillet tuoi 1.8-2kg/mieng</t>
  </si>
  <si>
    <t xml:space="preserve">Fish - Cut salmon/ Ca hoi cat ĐL</t>
  </si>
  <si>
    <t xml:space="preserve">Fish - Naked Catfish / Ca lang</t>
  </si>
  <si>
    <t xml:space="preserve">Fish - Pangasius kunyit Sliced/Ca dua cat lat 150-160g/mieng</t>
  </si>
  <si>
    <t xml:space="preserve">Fish - Plier fish/ Kim khuc ĐL</t>
  </si>
  <si>
    <t xml:space="preserve">121004</t>
  </si>
  <si>
    <t xml:space="preserve">Fish - Pompano / Ca nuc</t>
  </si>
  <si>
    <t xml:space="preserve">121005</t>
  </si>
  <si>
    <t xml:space="preserve">Fish - Red Talapia/ Ca Dieu Hong song</t>
  </si>
  <si>
    <t xml:space="preserve">121010</t>
  </si>
  <si>
    <t xml:space="preserve">Fish - Scad / Ca bac ma</t>
  </si>
  <si>
    <t xml:space="preserve">121059</t>
  </si>
  <si>
    <t xml:space="preserve">Fish - Scad cleaned / Ca bac ma lam sach</t>
  </si>
  <si>
    <t xml:space="preserve">Fish - Seabass fresh fillet/ Ca chem fillet tuoi 600-700gr/m</t>
  </si>
  <si>
    <t xml:space="preserve">121008</t>
  </si>
  <si>
    <t xml:space="preserve">Fish - Snapper fresh/ Ca hong bien nguyen con 2-3kg/con</t>
  </si>
  <si>
    <t xml:space="preserve">Fish - Tuna/ Ca ngu lam sach 3-4kg/con</t>
  </si>
  <si>
    <t xml:space="preserve">Fish "Phen"/ Ca phen</t>
  </si>
  <si>
    <t xml:space="preserve">121098</t>
  </si>
  <si>
    <t xml:space="preserve">Fish / Lutjanidae / Ca hong 0.8g-1kg/con</t>
  </si>
  <si>
    <t xml:space="preserve">Five spice powder/ Ngu vi huong</t>
  </si>
  <si>
    <t xml:space="preserve">Food Covering (PVC film) 45cm x 618m/ Mang Boc TP (Mang PVC)</t>
  </si>
  <si>
    <t xml:space="preserve">105002</t>
  </si>
  <si>
    <t xml:space="preserve">Fried pork bologna/Cha Lua Chien</t>
  </si>
  <si>
    <t xml:space="preserve">fried sausage/ Gio xao</t>
  </si>
  <si>
    <t xml:space="preserve">Frog legs/ Dui ech ĐL</t>
  </si>
  <si>
    <t xml:space="preserve">frozen abalone/ Bao ngu ĐL size 10-12</t>
  </si>
  <si>
    <t xml:space="preserve">111024</t>
  </si>
  <si>
    <t xml:space="preserve">Frozen Chicken Leg Quarter/ Dui ga goc tu DL My</t>
  </si>
  <si>
    <t xml:space="preserve">111018</t>
  </si>
  <si>
    <t xml:space="preserve">Frozen Chicken Thigh Meat Skinless/ Thit dui ga khong da DL</t>
  </si>
  <si>
    <t xml:space="preserve">111005</t>
  </si>
  <si>
    <t xml:space="preserve">Frozen Chicken wings / Canh ga dong lanh</t>
  </si>
  <si>
    <t xml:space="preserve">131103</t>
  </si>
  <si>
    <t xml:space="preserve">Fru Banana Huong/Chuoi Huong</t>
  </si>
  <si>
    <t xml:space="preserve">131111</t>
  </si>
  <si>
    <t xml:space="preserve">Fru Coconut old Clean/Dua gia tuoi got sach</t>
  </si>
  <si>
    <t xml:space="preserve">Fru Dragon Big 600gr Up/Pc/Thanh long qua to</t>
  </si>
  <si>
    <t xml:space="preserve">Fru Dragon Fruit White Core/Thanh Long Trang</t>
  </si>
  <si>
    <t xml:space="preserve">131102</t>
  </si>
  <si>
    <t xml:space="preserve">Fru Grape Black Import/Nho Den Nhap Khau</t>
  </si>
  <si>
    <t xml:space="preserve">Fru Grape Green seedless/Nho Xanh khong hat</t>
  </si>
  <si>
    <t xml:space="preserve">Fru Green Banana/Chuoi xanh</t>
  </si>
  <si>
    <t xml:space="preserve">Fru Guava White Core/Oi Le ruot trang</t>
  </si>
  <si>
    <t xml:space="preserve">131090</t>
  </si>
  <si>
    <t xml:space="preserve">Fru Mango Cat Chu (grade 2)/Xoai Cat Chu</t>
  </si>
  <si>
    <t xml:space="preserve">131091</t>
  </si>
  <si>
    <t xml:space="preserve">Fru Mango Hoa Loc (grade 1)/Xoai Hoa Loc</t>
  </si>
  <si>
    <t xml:space="preserve">131093</t>
  </si>
  <si>
    <t xml:space="preserve">Fru Mango Keo yellow (grade 3)/Xoai keo vang</t>
  </si>
  <si>
    <t xml:space="preserve">Fru Pomelo Pink/Buoi Hong Da xanh</t>
  </si>
  <si>
    <t xml:space="preserve">131119</t>
  </si>
  <si>
    <t xml:space="preserve">Fru Tamarind/Me</t>
  </si>
  <si>
    <t xml:space="preserve">131087</t>
  </si>
  <si>
    <t xml:space="preserve">Fru Watermelon seedless/Dua hau khong hat</t>
  </si>
  <si>
    <t xml:space="preserve">Fruit - fresh jujube/ Qua hong tao</t>
  </si>
  <si>
    <t xml:space="preserve">131150</t>
  </si>
  <si>
    <t xml:space="preserve">Fruit - Plum/ Man Hau</t>
  </si>
  <si>
    <t xml:space="preserve">Fruit - Sweet orange/ Cam duong ngot</t>
  </si>
  <si>
    <t xml:space="preserve">131094</t>
  </si>
  <si>
    <t xml:space="preserve">Fruit Apple Green US/Tao Xanh My</t>
  </si>
  <si>
    <t xml:space="preserve">131095</t>
  </si>
  <si>
    <t xml:space="preserve">Fruit Apple Red US/Tao Do My</t>
  </si>
  <si>
    <t xml:space="preserve">131082</t>
  </si>
  <si>
    <t xml:space="preserve">Fruit Apple/ TAO Gala WAF S.SIZE XX NZL size 9-10 trai/kg</t>
  </si>
  <si>
    <t xml:space="preserve">131114</t>
  </si>
  <si>
    <t xml:space="preserve">Fruit Longan/Qua Nhan dia phuong</t>
  </si>
  <si>
    <t xml:space="preserve">Fruit Orange Yellow Import/Cam Vang Nhap Khau</t>
  </si>
  <si>
    <t xml:space="preserve">131081</t>
  </si>
  <si>
    <t xml:space="preserve">Fruit Plum / qua man</t>
  </si>
  <si>
    <t xml:space="preserve">131033</t>
  </si>
  <si>
    <t xml:space="preserve">Fruit-"Thai" Rambutan/Chom Chom Thai</t>
  </si>
  <si>
    <t xml:space="preserve">131003</t>
  </si>
  <si>
    <t xml:space="preserve">Fruit-American red Apple/Tao my do</t>
  </si>
  <si>
    <t xml:space="preserve">131046</t>
  </si>
  <si>
    <t xml:space="preserve">Fruit-Areca banana/Chuoi Cau</t>
  </si>
  <si>
    <t xml:space="preserve">131048</t>
  </si>
  <si>
    <t xml:space="preserve">Fruit-Aromatic banana/Chuoi Tieu</t>
  </si>
  <si>
    <t xml:space="preserve">131028</t>
  </si>
  <si>
    <t xml:space="preserve">Fruit-Avocado/Qua Bo</t>
  </si>
  <si>
    <t xml:space="preserve">131064</t>
  </si>
  <si>
    <t xml:space="preserve">Fruit-Bunch of Coconut/ Dua nuoc ca buong</t>
  </si>
  <si>
    <t xml:space="preserve">131034</t>
  </si>
  <si>
    <t xml:space="preserve">Fruit-Coconut Whole Green/ Qua Dua vo xanh</t>
  </si>
  <si>
    <t xml:space="preserve">131035</t>
  </si>
  <si>
    <t xml:space="preserve">Fruit-Coconut Whole white/ Qua Dua vo trang</t>
  </si>
  <si>
    <t xml:space="preserve">131010</t>
  </si>
  <si>
    <t xml:space="preserve">Fruit-Dragon Fruit Red/ Thanh Long ruot do</t>
  </si>
  <si>
    <t xml:space="preserve">131009</t>
  </si>
  <si>
    <t xml:space="preserve">Fruit-Dragon Fruit/Thanh Long 2 Trai/kg</t>
  </si>
  <si>
    <t xml:space="preserve">131071 </t>
  </si>
  <si>
    <t xml:space="preserve">Fruit-Fresh Blueberry / Qua viet quat nguyen trai tuoi</t>
  </si>
  <si>
    <t xml:space="preserve">Box 125gr</t>
  </si>
  <si>
    <t xml:space="preserve">Fruit-Fresh Calamondin/ Qua tac/ qua quat</t>
  </si>
  <si>
    <t xml:space="preserve">131122</t>
  </si>
  <si>
    <t xml:space="preserve">Fruit-Fru Avocado/Bo Sap</t>
  </si>
  <si>
    <t xml:space="preserve">Fruit-Fru rockmelon Orange core/Yellow Skin rd/Dua Luoi Tron</t>
  </si>
  <si>
    <t xml:space="preserve">131007</t>
  </si>
  <si>
    <t xml:space="preserve">Fruit-Grapefruit/Pomelo/Buoi Nam Roi</t>
  </si>
  <si>
    <t xml:space="preserve">131004</t>
  </si>
  <si>
    <t xml:space="preserve">Fruit-Green Apple American /Tao xanh my 6-7 Trai/kg</t>
  </si>
  <si>
    <t xml:space="preserve">131019</t>
  </si>
  <si>
    <t xml:space="preserve">Fruit-Green Mango/Xoai Xanh</t>
  </si>
  <si>
    <t xml:space="preserve">131008</t>
  </si>
  <si>
    <t xml:space="preserve">Fruit-Green Skin Pomelo/ Buoi da xanh tren 1.6kg/trai</t>
  </si>
  <si>
    <t xml:space="preserve">131015</t>
  </si>
  <si>
    <t xml:space="preserve">Fruit-Guava/Qua Oi</t>
  </si>
  <si>
    <t xml:space="preserve">Fruit-Jackfruit peeled/ Mit lot vo</t>
  </si>
  <si>
    <t xml:space="preserve">131067</t>
  </si>
  <si>
    <t xml:space="preserve">Fruit-Kiwi Green/ Qua duong dao/kiwi ruot xanh</t>
  </si>
  <si>
    <t xml:space="preserve">131066</t>
  </si>
  <si>
    <t xml:space="preserve">Fruit-Kiwi yellow/ Qua duong dao/kiwi ruot vang</t>
  </si>
  <si>
    <t xml:space="preserve">131052</t>
  </si>
  <si>
    <t xml:space="preserve">Fruit-Lemon/Qua Chanh Vang</t>
  </si>
  <si>
    <t xml:space="preserve">131006</t>
  </si>
  <si>
    <t xml:space="preserve">Fruit-Mandarine Thai land/Quyt Ngot Thai Land</t>
  </si>
  <si>
    <t xml:space="preserve">131057</t>
  </si>
  <si>
    <t xml:space="preserve">Fruit-Northern Longan/ Nhan Bac</t>
  </si>
  <si>
    <t xml:space="preserve">131030</t>
  </si>
  <si>
    <t xml:space="preserve">Fruit-Orange America/ Cam My vang</t>
  </si>
  <si>
    <t xml:space="preserve">131029</t>
  </si>
  <si>
    <t xml:space="preserve">Fruit-Orange/Cam Sanh</t>
  </si>
  <si>
    <t xml:space="preserve">131038</t>
  </si>
  <si>
    <t xml:space="preserve">Fruit-Passion/Chanh day</t>
  </si>
  <si>
    <t xml:space="preserve">131022</t>
  </si>
  <si>
    <t xml:space="preserve">Fruit-Peach/ Qua Dao</t>
  </si>
  <si>
    <t xml:space="preserve">Fruit-Pear/ Trai Le</t>
  </si>
  <si>
    <t xml:space="preserve">Fruit-Rambutan/Chom Chom thuong</t>
  </si>
  <si>
    <t xml:space="preserve">Fruit-Red apple New Zealand /Tao do NZ</t>
  </si>
  <si>
    <t xml:space="preserve">Fruit-Red Grape American/Nho My do</t>
  </si>
  <si>
    <t xml:space="preserve">131054</t>
  </si>
  <si>
    <t xml:space="preserve">Fruit-Red plum/ Qua man do</t>
  </si>
  <si>
    <t xml:space="preserve">Fruit-Sapa crispy peaches/ Dao gion Sapa</t>
  </si>
  <si>
    <t xml:space="preserve">131047</t>
  </si>
  <si>
    <t xml:space="preserve">Fruit-Siamese banana/Chuoi su</t>
  </si>
  <si>
    <t xml:space="preserve">131072</t>
  </si>
  <si>
    <t xml:space="preserve">Fruit-Watermelon no seed/Dua Hau Do ko hat Tren 2.5kg/Trai</t>
  </si>
  <si>
    <t xml:space="preserve">131011</t>
  </si>
  <si>
    <t xml:space="preserve">Fruit-Watermelon/Dua Hau Do Tren 2.5kg/ Trai</t>
  </si>
  <si>
    <t xml:space="preserve">131061</t>
  </si>
  <si>
    <t xml:space="preserve">Fruit-Whole Pineapple/ Thom nguyen trai</t>
  </si>
  <si>
    <t xml:space="preserve">Golden farm peanut butter 5kg/ bo dau phong golden farm 5kg</t>
  </si>
  <si>
    <t xml:space="preserve">Grilled fish mixed with squid/ Cha ca pha muc ĐL</t>
  </si>
  <si>
    <t xml:space="preserve">Ground galangal root/ Cu rieng xay</t>
  </si>
  <si>
    <t xml:space="preserve">Hao hao Shrimp noodles/ My tom hao hao</t>
  </si>
  <si>
    <t xml:space="preserve">131077</t>
  </si>
  <si>
    <t xml:space="preserve">Jackfruit / Mit Thai nguyen trai 3-5kg</t>
  </si>
  <si>
    <t xml:space="preserve">Japanese bonito/ Ca thu Nhat</t>
  </si>
  <si>
    <t xml:space="preserve">Jelly alcohol/ Thach con</t>
  </si>
  <si>
    <t xml:space="preserve">Jelly Fish / Sua bien</t>
  </si>
  <si>
    <t xml:space="preserve">Kewpie roasted sesame sauce 1L/ Sot me rang kewpie 1L</t>
  </si>
  <si>
    <t xml:space="preserve">Lavie water 500ml/ Lavie chai nhua 500ml</t>
  </si>
  <si>
    <t xml:space="preserve">105004</t>
  </si>
  <si>
    <t xml:space="preserve">Lean pork paste/Gio Lua</t>
  </si>
  <si>
    <t xml:space="preserve"> 131,106 </t>
  </si>
  <si>
    <t xml:space="preserve">Lime No Seed Local/ Chanh khong hat</t>
  </si>
  <si>
    <t xml:space="preserve">Lime/ Chanh co hat</t>
  </si>
  <si>
    <t xml:space="preserve">Loyal white vinegar Trung Thanh 500 ml/ Giam trang Trung Tha</t>
  </si>
  <si>
    <t xml:space="preserve">Btl 500ml</t>
  </si>
  <si>
    <t xml:space="preserve">Mango/ Xoai chin mo qua</t>
  </si>
  <si>
    <t xml:space="preserve">Matcha green tea powder 500gr/ bot tra xanh matcha 500gr</t>
  </si>
  <si>
    <t xml:space="preserve">Pack 500gr</t>
  </si>
  <si>
    <t xml:space="preserve">meat mushroom soup/ Moc nam thit</t>
  </si>
  <si>
    <t xml:space="preserve">Mugwort/ Ngai Cuu</t>
  </si>
  <si>
    <t xml:space="preserve">152003</t>
  </si>
  <si>
    <t xml:space="preserve">Mung bean / Dau xanh Con Vo</t>
  </si>
  <si>
    <t xml:space="preserve">Mushy tamarind/ Me nhao</t>
  </si>
  <si>
    <t xml:space="preserve">123061</t>
  </si>
  <si>
    <t xml:space="preserve">Octopus 200g-250gr / Bach tuoc 200g-250gr</t>
  </si>
  <si>
    <t xml:space="preserve">Pate Cot Den 150gr/ box</t>
  </si>
  <si>
    <t xml:space="preserve">Pear-AU/ Trai Le Uc</t>
  </si>
  <si>
    <t xml:space="preserve">Perfect condensed milk 1284gr/ Sua dac ngoi sao phương nam x</t>
  </si>
  <si>
    <t xml:space="preserve">Box 1.284L</t>
  </si>
  <si>
    <t xml:space="preserve">Phu Huong vermicelli 210g/Mien phu huong 210g</t>
  </si>
  <si>
    <t xml:space="preserve">Pack 210gr</t>
  </si>
  <si>
    <t xml:space="preserve">Pistachio Kernels 1KG/ Nhan hat de cuoi 1KG</t>
  </si>
  <si>
    <t xml:space="preserve">101028</t>
  </si>
  <si>
    <t xml:space="preserve">Pork Belly Boneless / Ba roi heo rut xuong co da DL</t>
  </si>
  <si>
    <t xml:space="preserve">101017</t>
  </si>
  <si>
    <t xml:space="preserve">Pork Belly/ Thit Ba Roi</t>
  </si>
  <si>
    <t xml:space="preserve">101002</t>
  </si>
  <si>
    <t xml:space="preserve">Pork Bone/Xuong ong heo</t>
  </si>
  <si>
    <t xml:space="preserve">pork ear sausage/ Gio tai</t>
  </si>
  <si>
    <t xml:space="preserve">Pork ears/ Tai heo</t>
  </si>
  <si>
    <t xml:space="preserve">101022</t>
  </si>
  <si>
    <t xml:space="preserve">Pork fat/ Mo heo</t>
  </si>
  <si>
    <t xml:space="preserve">101005</t>
  </si>
  <si>
    <t xml:space="preserve">Pork Knuckled / Mong gio heo DL</t>
  </si>
  <si>
    <t xml:space="preserve">101004</t>
  </si>
  <si>
    <t xml:space="preserve">Pork Knuckled/Mong Gio heo</t>
  </si>
  <si>
    <t xml:space="preserve">101007</t>
  </si>
  <si>
    <t xml:space="preserve">Pork Leg Natural/Chan Gio Heo Nguyen Cai</t>
  </si>
  <si>
    <t xml:space="preserve">101009</t>
  </si>
  <si>
    <t xml:space="preserve">Pork Leg/ Nac dui Heo</t>
  </si>
  <si>
    <t xml:space="preserve">101006</t>
  </si>
  <si>
    <t xml:space="preserve">Pork Leg/Thit Chan Gio</t>
  </si>
  <si>
    <t xml:space="preserve">101012</t>
  </si>
  <si>
    <t xml:space="preserve">Pork Loin/ Nac Lung Heo</t>
  </si>
  <si>
    <t xml:space="preserve">101018</t>
  </si>
  <si>
    <t xml:space="preserve">Pork Minced /Thit Heo Xay</t>
  </si>
  <si>
    <t xml:space="preserve">105007</t>
  </si>
  <si>
    <t xml:space="preserve">Pork mousses/ Pork Pie Fresh/ Gio song</t>
  </si>
  <si>
    <t xml:space="preserve">105006</t>
  </si>
  <si>
    <t xml:space="preserve">Pork Pie Fresh/Moc song</t>
  </si>
  <si>
    <t xml:space="preserve">Pork Roasted whole/ Heo sua quay nguyen con (2-2.9kg/con)</t>
  </si>
  <si>
    <t xml:space="preserve">101010</t>
  </si>
  <si>
    <t xml:space="preserve">Pork Shoulder/Nac Vai</t>
  </si>
  <si>
    <t xml:space="preserve">101014</t>
  </si>
  <si>
    <t xml:space="preserve">Pork Spare Rib/ Suon Heo Non</t>
  </si>
  <si>
    <t xml:space="preserve">101019</t>
  </si>
  <si>
    <t xml:space="preserve">Pork stomach/ Bao tu heo</t>
  </si>
  <si>
    <t xml:space="preserve">101011</t>
  </si>
  <si>
    <t xml:space="preserve">Pork Tenderloin/Than Lon</t>
  </si>
  <si>
    <t xml:space="preserve">Pork tongue/ Luoi heo</t>
  </si>
  <si>
    <t xml:space="preserve">101008</t>
  </si>
  <si>
    <t xml:space="preserve">Pork Whole leg without bone/ Chan gio heo rut xuong</t>
  </si>
  <si>
    <t xml:space="preserve">166001</t>
  </si>
  <si>
    <t xml:space="preserve">Powder Chili 500G/bot ot</t>
  </si>
  <si>
    <t xml:space="preserve">purple sweet potato/ Khoai lang ken</t>
  </si>
  <si>
    <t xml:space="preserve">Raw peanut 1kg/ Dau phong song 1kg</t>
  </si>
  <si>
    <t xml:space="preserve">Red apples 5-6 fruits/1kg Tao do UC 5-6 qua/1kg</t>
  </si>
  <si>
    <t xml:space="preserve">151181</t>
  </si>
  <si>
    <t xml:space="preserve">Red radish baby/ Cu cai do nho</t>
  </si>
  <si>
    <t xml:space="preserve">Rice BC/ Gao BC</t>
  </si>
  <si>
    <t xml:space="preserve">Rice flour 400g/ bot gao 400g</t>
  </si>
  <si>
    <t xml:space="preserve">Pack 400gr</t>
  </si>
  <si>
    <t xml:space="preserve">Rice Nang Huong/ Gao Nang Huong</t>
  </si>
  <si>
    <t xml:space="preserve">161103</t>
  </si>
  <si>
    <t xml:space="preserve">Saffron 1g/ Nhuy hoa nghe tay 1g</t>
  </si>
  <si>
    <t xml:space="preserve">Pack 1g</t>
  </si>
  <si>
    <t xml:space="preserve">Saigon tangerines/ Quyt duong Sai Gon</t>
  </si>
  <si>
    <t xml:space="preserve">Salt roasted powder 450g/ Bot rang muoi Tuan Phuong</t>
  </si>
  <si>
    <t xml:space="preserve">Pack 450gr</t>
  </si>
  <si>
    <t xml:space="preserve">173005</t>
  </si>
  <si>
    <t xml:space="preserve">Salted duck egg/Trung Vit Muoi</t>
  </si>
  <si>
    <t xml:space="preserve">167002</t>
  </si>
  <si>
    <t xml:space="preserve">Sauce Chilli Cholimex 2.1L/ Tuong ot Cholimex 2.1L</t>
  </si>
  <si>
    <t xml:space="preserve">Btl 2.1 liter</t>
  </si>
  <si>
    <t xml:space="preserve">Sauce Fish Nam ngu/ Nuoc Mam Nam Ngu Chinsu de nhi 800ml</t>
  </si>
  <si>
    <t xml:space="preserve">Btl 800ml</t>
  </si>
  <si>
    <t xml:space="preserve">167029</t>
  </si>
  <si>
    <t xml:space="preserve">Sauce Oyster LKK/ Dau Hao chay LKK 510gr</t>
  </si>
  <si>
    <t xml:space="preserve">Btl 510gr</t>
  </si>
  <si>
    <t xml:space="preserve">167030</t>
  </si>
  <si>
    <t xml:space="preserve">Sauce Oyster Maggi / Dau Hao Maggi 820ml</t>
  </si>
  <si>
    <t xml:space="preserve">Btl 820ml</t>
  </si>
  <si>
    <t xml:space="preserve">167034</t>
  </si>
  <si>
    <t xml:space="preserve">Sauce Seafood LKK / Sot hai san LKK 410ml</t>
  </si>
  <si>
    <t xml:space="preserve">Btl 410ml</t>
  </si>
  <si>
    <t xml:space="preserve">Sauce Shrimp Paste /Mam Ruoc Hue Song Huong 430gr</t>
  </si>
  <si>
    <t xml:space="preserve">Box 430gr</t>
  </si>
  <si>
    <t xml:space="preserve">167007</t>
  </si>
  <si>
    <t xml:space="preserve">Sauce Tomato Cholimex / Tuong ca Cholimex 2.1L</t>
  </si>
  <si>
    <t xml:space="preserve">sausage cartilage/ Cha sun non</t>
  </si>
  <si>
    <t xml:space="preserve">sausage with cartilage/ Doi sun non</t>
  </si>
  <si>
    <t xml:space="preserve">Sausage/Lap xuong Mai Que Lo 500gr</t>
  </si>
  <si>
    <t xml:space="preserve">Seasoning Salt 1Kg/Muoi Hot</t>
  </si>
  <si>
    <t xml:space="preserve">Seasoning Salt Thai Lan / Muoi Thai 1kg</t>
  </si>
  <si>
    <t xml:space="preserve">123084</t>
  </si>
  <si>
    <t xml:space="preserve">Sentinel crab-Live/ Ghe bien song do loai 5-6con/kg</t>
  </si>
  <si>
    <t xml:space="preserve">Shrimp paste with meat/ Mam tep trung thit Lan Anh 454gr</t>
  </si>
  <si>
    <t xml:space="preserve">Box 454gr</t>
  </si>
  <si>
    <t xml:space="preserve">Sim Powder 400g / Bot sim rung 400g</t>
  </si>
  <si>
    <t xml:space="preserve">Box 400gr</t>
  </si>
  <si>
    <t xml:space="preserve">smoked pork belly/ Bap heo hun khoi</t>
  </si>
  <si>
    <t xml:space="preserve">smoked pork leg/ Chan gio heo hun khoi</t>
  </si>
  <si>
    <t xml:space="preserve">Snail intestines/ Ruot oc buou DL</t>
  </si>
  <si>
    <t xml:space="preserve">Soaked peaches 820gr/ Dao ngam 820gr</t>
  </si>
  <si>
    <t xml:space="preserve">Tin 820gr</t>
  </si>
  <si>
    <t xml:space="preserve">Soda powder 120g (blue)/ bot soda 120g (màu xanh)</t>
  </si>
  <si>
    <t xml:space="preserve">Pack 120gr</t>
  </si>
  <si>
    <t xml:space="preserve">Soffti cake/ Banh soffti 50gr</t>
  </si>
  <si>
    <t xml:space="preserve">Soft drink Coca 1.6L</t>
  </si>
  <si>
    <t xml:space="preserve">Btl 1.6 Liter</t>
  </si>
  <si>
    <t xml:space="preserve">Soft drink Fanta 1.6L</t>
  </si>
  <si>
    <t xml:space="preserve">Soy Milk 1 L Original/Sua dau nanh 1 L khong duong</t>
  </si>
  <si>
    <t xml:space="preserve">167097</t>
  </si>
  <si>
    <t xml:space="preserve">Soy sauce crown prince/ Xi dau tam thai tu 500ml</t>
  </si>
  <si>
    <t xml:space="preserve">Bottle 500 ml</t>
  </si>
  <si>
    <t xml:space="preserve">Squid rolls type 2/ Cha muc loai 2</t>
  </si>
  <si>
    <t xml:space="preserve">Squid rolls/ Cha muc Van Don</t>
  </si>
  <si>
    <t xml:space="preserve">131074</t>
  </si>
  <si>
    <t xml:space="preserve">Sugar cane clean/ Mia got sach</t>
  </si>
  <si>
    <t xml:space="preserve">165006</t>
  </si>
  <si>
    <t xml:space="preserve">Syrup Giffard almond 1L/ Siro giffard hanh nhan</t>
  </si>
  <si>
    <t xml:space="preserve">165004</t>
  </si>
  <si>
    <t xml:space="preserve">Syrup Giffard avage 1L</t>
  </si>
  <si>
    <t xml:space="preserve">165001</t>
  </si>
  <si>
    <t xml:space="preserve">Syrup Giffard Pomegranate 1L/ Siro Giffard Lựu</t>
  </si>
  <si>
    <t xml:space="preserve">165012</t>
  </si>
  <si>
    <t xml:space="preserve">Syrup Sim 600ml</t>
  </si>
  <si>
    <t xml:space="preserve">Bottle 600ml</t>
  </si>
  <si>
    <t xml:space="preserve">Tangerine - AU/ Quyt Uc 5trai/1kg</t>
  </si>
  <si>
    <t xml:space="preserve">Thai sticky rice/ Gao nep Thai</t>
  </si>
  <si>
    <t xml:space="preserve">TRA BI DAO WDF 310ML/ Squash tea</t>
  </si>
  <si>
    <t xml:space="preserve">123050</t>
  </si>
  <si>
    <t xml:space="preserve">Turgid Venus / Ngheu 2 coi</t>
  </si>
  <si>
    <t xml:space="preserve">Turmeric powder/ Bot nghe</t>
  </si>
  <si>
    <t xml:space="preserve">V fresh Apple Juice 1L/ Nuoc tao ep 1L</t>
  </si>
  <si>
    <t xml:space="preserve">V fresh Orange Juice 1L/ Nuoc cam ep 1L</t>
  </si>
  <si>
    <t xml:space="preserve">151134</t>
  </si>
  <si>
    <t xml:space="preserve">Veg - Amaranth/ rau den</t>
  </si>
  <si>
    <t xml:space="preserve">151054</t>
  </si>
  <si>
    <t xml:space="preserve">Veg - Asparagus Green/Mang Tay</t>
  </si>
  <si>
    <t xml:space="preserve">Veg - Baby carrot/ Ca rot nho 15-20 cu/kg</t>
  </si>
  <si>
    <t xml:space="preserve">Veg - Baby Corn/Bap Non</t>
  </si>
  <si>
    <t xml:space="preserve">Veg - Baby Potato/ Khoai tay bi 18-20cu/kg</t>
  </si>
  <si>
    <t xml:space="preserve">Veg - Bamboo Shoot white/ Mang tuoi trang</t>
  </si>
  <si>
    <t xml:space="preserve">151085</t>
  </si>
  <si>
    <t xml:space="preserve">Veg - Bamboo Shoot yellow/ Mang tuoi vang</t>
  </si>
  <si>
    <t xml:space="preserve">Veg - Banana Flower Sliced/ bap chuoi bao</t>
  </si>
  <si>
    <t xml:space="preserve">151019</t>
  </si>
  <si>
    <t xml:space="preserve">Veg - Banana Leave/ La Chuoi</t>
  </si>
  <si>
    <t xml:space="preserve">151028</t>
  </si>
  <si>
    <t xml:space="preserve">Veg - Bean French / Dau Phap</t>
  </si>
  <si>
    <t xml:space="preserve">151029</t>
  </si>
  <si>
    <t xml:space="preserve">Veg - Bean Green/Dau Que</t>
  </si>
  <si>
    <t xml:space="preserve">151140</t>
  </si>
  <si>
    <t xml:space="preserve">Veg - Bean Sprout Cleaned/ Gia Do Lam Sach</t>
  </si>
  <si>
    <t xml:space="preserve">Veg - Beans Long/ dau dua</t>
  </si>
  <si>
    <t xml:space="preserve">151026</t>
  </si>
  <si>
    <t xml:space="preserve">Veg - Beetroot/Cu Den</t>
  </si>
  <si>
    <t xml:space="preserve">151060</t>
  </si>
  <si>
    <t xml:space="preserve">Veg - Cabbage Chinese/Cai Thao</t>
  </si>
  <si>
    <t xml:space="preserve">151059</t>
  </si>
  <si>
    <t xml:space="preserve">Veg - Cabbage Green/Mustard plant/Cai Xanh</t>
  </si>
  <si>
    <t xml:space="preserve">151063</t>
  </si>
  <si>
    <t xml:space="preserve">Veg - Cabbage Purple/ bap cai tim</t>
  </si>
  <si>
    <t xml:space="preserve">151062</t>
  </si>
  <si>
    <t xml:space="preserve">Veg - Cabbage Red/Bap Cai Do</t>
  </si>
  <si>
    <t xml:space="preserve">151061</t>
  </si>
  <si>
    <t xml:space="preserve">Veg - Cabbage Round/Bap Cai tron</t>
  </si>
  <si>
    <t xml:space="preserve">151064</t>
  </si>
  <si>
    <t xml:space="preserve">Veg - Cabbage white/ Bap Cai Trang</t>
  </si>
  <si>
    <t xml:space="preserve">151001</t>
  </si>
  <si>
    <t xml:space="preserve">Veg - Capsicum green / Ot chuong xanh</t>
  </si>
  <si>
    <t xml:space="preserve">151002</t>
  </si>
  <si>
    <t xml:space="preserve">Veg - Capsicum red/ Ot chuong do</t>
  </si>
  <si>
    <t xml:space="preserve">151003</t>
  </si>
  <si>
    <t xml:space="preserve">Veg - Capsicum yellow/ Ot chuong vang</t>
  </si>
  <si>
    <t xml:space="preserve">151129</t>
  </si>
  <si>
    <t xml:space="preserve">Veg - Cassava root/Oppositifolius Yam/ khoai my</t>
  </si>
  <si>
    <t xml:space="preserve">151125</t>
  </si>
  <si>
    <t xml:space="preserve">Veg - Cassava/Cu san tuoi/cu dau</t>
  </si>
  <si>
    <t xml:space="preserve">151016</t>
  </si>
  <si>
    <t xml:space="preserve">Veg - Cauliflower Green/Brocolli/ Bong cai xanh cat cuong</t>
  </si>
  <si>
    <t xml:space="preserve">151015</t>
  </si>
  <si>
    <t xml:space="preserve">Veg - Cauliflower/ Bong cai trang cat cuong</t>
  </si>
  <si>
    <t xml:space="preserve">151067</t>
  </si>
  <si>
    <t xml:space="preserve">Veg - Celery Dalat/ Can Tay Dalat</t>
  </si>
  <si>
    <t xml:space="preserve">151014</t>
  </si>
  <si>
    <t xml:space="preserve">Veg - Chayote/Su Su</t>
  </si>
  <si>
    <t xml:space="preserve">151004</t>
  </si>
  <si>
    <t xml:space="preserve">Veg - Chili big red/ Ot sung do</t>
  </si>
  <si>
    <t xml:space="preserve">151007</t>
  </si>
  <si>
    <t xml:space="preserve">Veg - Chili Green small/ Ot hiem xanh</t>
  </si>
  <si>
    <t xml:space="preserve">151006</t>
  </si>
  <si>
    <t xml:space="preserve">Veg - Chili Red small/ Ot hiem do</t>
  </si>
  <si>
    <t xml:space="preserve">151089</t>
  </si>
  <si>
    <t xml:space="preserve">Veg - Chives/La He</t>
  </si>
  <si>
    <t xml:space="preserve">151057</t>
  </si>
  <si>
    <t xml:space="preserve">Veg - Choy sum/ cai ngot</t>
  </si>
  <si>
    <t xml:space="preserve">Veg - Choy sum/cai ngong</t>
  </si>
  <si>
    <t xml:space="preserve">151164</t>
  </si>
  <si>
    <t xml:space="preserve">Veg - Cooked Sweet Potato/ Khoai lang luoc</t>
  </si>
  <si>
    <t xml:space="preserve">151024</t>
  </si>
  <si>
    <t xml:space="preserve">Veg - Coriander/Ngo ri</t>
  </si>
  <si>
    <t xml:space="preserve">151022</t>
  </si>
  <si>
    <t xml:space="preserve">Veg - Cress/Can Ta/Can Tau</t>
  </si>
  <si>
    <t xml:space="preserve">151068</t>
  </si>
  <si>
    <t xml:space="preserve">Veg - Cucumber Local/ Dua Leo</t>
  </si>
  <si>
    <t xml:space="preserve">151121</t>
  </si>
  <si>
    <t xml:space="preserve">Veg - Daikon/ Cai mam</t>
  </si>
  <si>
    <t xml:space="preserve">Veg - Dried Ear Fungus/ Moc nhi, Nam meo</t>
  </si>
  <si>
    <t xml:space="preserve">151020</t>
  </si>
  <si>
    <t xml:space="preserve">Veg - Dzoc Mung/Dzoc Mung , Bac ha</t>
  </si>
  <si>
    <t xml:space="preserve">151166</t>
  </si>
  <si>
    <t xml:space="preserve">Veg - Edible flower / Hoa an duoc (10gr)</t>
  </si>
  <si>
    <t xml:space="preserve">Pack 10gr</t>
  </si>
  <si>
    <t xml:space="preserve">151012</t>
  </si>
  <si>
    <t xml:space="preserve">Veg - Eggplant Long/Ca Tim Dai</t>
  </si>
  <si>
    <t xml:space="preserve">Veg - Eggplant Round/Ca Tim Tron</t>
  </si>
  <si>
    <t xml:space="preserve">151158</t>
  </si>
  <si>
    <t xml:space="preserve">Veg - Fermented young bamboo / Mang chua</t>
  </si>
  <si>
    <t xml:space="preserve">Veg - Fig Leaves/ La Sung</t>
  </si>
  <si>
    <t xml:space="preserve">151092</t>
  </si>
  <si>
    <t xml:space="preserve">Veg - Fresh basil/ Hung que VN</t>
  </si>
  <si>
    <t xml:space="preserve">151132</t>
  </si>
  <si>
    <t xml:space="preserve">Veg - Fresh Oyster mushroom/ Nam bao ngu tuoi</t>
  </si>
  <si>
    <t xml:space="preserve">151100</t>
  </si>
  <si>
    <t xml:space="preserve">Veg - fresh tarragon/ Rau Thom</t>
  </si>
  <si>
    <t xml:space="preserve">151095</t>
  </si>
  <si>
    <t xml:space="preserve">Veg - Fresh Western basil/ Hung que tay</t>
  </si>
  <si>
    <t xml:space="preserve">151137</t>
  </si>
  <si>
    <t xml:space="preserve">Veg - Garlard Chrysanthemum/ Rau tan o, cai cuc</t>
  </si>
  <si>
    <t xml:space="preserve">151041</t>
  </si>
  <si>
    <t xml:space="preserve">Veg - Garlic peeled/ toi lot vo</t>
  </si>
  <si>
    <t xml:space="preserve">151187</t>
  </si>
  <si>
    <t xml:space="preserve">Veg - Garlic whole/ Toi nguyen cu</t>
  </si>
  <si>
    <t xml:space="preserve">151208</t>
  </si>
  <si>
    <t xml:space="preserve">Veg - Ginger Peeled/Cu Gung</t>
  </si>
  <si>
    <t xml:space="preserve">151051</t>
  </si>
  <si>
    <t xml:space="preserve">Veg - Gourd Local /Bau Dia Phuong</t>
  </si>
  <si>
    <t xml:space="preserve">151120</t>
  </si>
  <si>
    <t xml:space="preserve">Veg - Green apple Eggplant/ Ca phao</t>
  </si>
  <si>
    <t xml:space="preserve">Veg - Green Bean Ha Lan/ Dau Ha Lan Xanh</t>
  </si>
  <si>
    <t xml:space="preserve">151025</t>
  </si>
  <si>
    <t xml:space="preserve">Veg - Heartleaf/ Rau Diep Ca</t>
  </si>
  <si>
    <t xml:space="preserve">151091</t>
  </si>
  <si>
    <t xml:space="preserve">Veg - Herb-dill/ thi la</t>
  </si>
  <si>
    <t xml:space="preserve">Veg - Herb-kayang/ Rau ngo, Ngo om</t>
  </si>
  <si>
    <t xml:space="preserve">151096</t>
  </si>
  <si>
    <t xml:space="preserve">Veg - Herb-laksa leaves/ rau ram</t>
  </si>
  <si>
    <t xml:space="preserve">151097</t>
  </si>
  <si>
    <t xml:space="preserve">Veg - Herb-mint leaves/ hung lui</t>
  </si>
  <si>
    <t xml:space="preserve">151090</t>
  </si>
  <si>
    <t xml:space="preserve">Veg - Herb-parsley/Ngo tay</t>
  </si>
  <si>
    <t xml:space="preserve">151098</t>
  </si>
  <si>
    <t xml:space="preserve">Veg - Herb-saw coriander/eryngo/ Ngo gai</t>
  </si>
  <si>
    <t xml:space="preserve">151018</t>
  </si>
  <si>
    <t xml:space="preserve">Veg - Kang Kong/ Rau Muong</t>
  </si>
  <si>
    <t xml:space="preserve">151201</t>
  </si>
  <si>
    <t xml:space="preserve">Veg - Kim chi/ Kim Chi</t>
  </si>
  <si>
    <t xml:space="preserve">151055</t>
  </si>
  <si>
    <t xml:space="preserve">Veg - Kohlrabi/ Su Hao</t>
  </si>
  <si>
    <t xml:space="preserve">151106</t>
  </si>
  <si>
    <t xml:space="preserve">Veg - Lady finger (Okra)/ Dau bap</t>
  </si>
  <si>
    <t xml:space="preserve">Veg - Large Leek/ Toi Tay</t>
  </si>
  <si>
    <t xml:space="preserve">151101</t>
  </si>
  <si>
    <t xml:space="preserve">Veg - Leaves pandan/ la dua</t>
  </si>
  <si>
    <t xml:space="preserve">151043</t>
  </si>
  <si>
    <t xml:space="preserve">Veg - Lemon Grass/ Cu Xa</t>
  </si>
  <si>
    <t xml:space="preserve">151102</t>
  </si>
  <si>
    <t xml:space="preserve">Veg - Lemongrass/ Cu sa</t>
  </si>
  <si>
    <t xml:space="preserve">151078</t>
  </si>
  <si>
    <t xml:space="preserve">Veg - Lettuce Lolo Tim/Xa Lach Lolo Tim</t>
  </si>
  <si>
    <t xml:space="preserve">151082</t>
  </si>
  <si>
    <t xml:space="preserve">Veg - Lettuce- Rocket/ xa lach Rocket</t>
  </si>
  <si>
    <t xml:space="preserve">151081</t>
  </si>
  <si>
    <t xml:space="preserve">Veg - Lettuce-Frisse/ Xa lach xoan Frisse</t>
  </si>
  <si>
    <t xml:space="preserve">151077</t>
  </si>
  <si>
    <t xml:space="preserve">Veg - Lettuce-green lollo/Xa Lach Lolo Xanh</t>
  </si>
  <si>
    <t xml:space="preserve">151076</t>
  </si>
  <si>
    <t xml:space="preserve">Veg - Lettuce-radicchio/Xa Lach cuon tim</t>
  </si>
  <si>
    <t xml:space="preserve">151080</t>
  </si>
  <si>
    <t xml:space="preserve">Veg - Lettuce-Romaine/ Xa lach Ro main</t>
  </si>
  <si>
    <t xml:space="preserve">151112</t>
  </si>
  <si>
    <t xml:space="preserve">Veg - Lime Leaves/La Chanh</t>
  </si>
  <si>
    <t xml:space="preserve">151126</t>
  </si>
  <si>
    <t xml:space="preserve">Veg - Local Lotus Root/Cu sen</t>
  </si>
  <si>
    <t xml:space="preserve">151133</t>
  </si>
  <si>
    <t xml:space="preserve">Veg - Lotus Root/ ngo sen che</t>
  </si>
  <si>
    <t xml:space="preserve">151072</t>
  </si>
  <si>
    <t xml:space="preserve">Veg - Lotus Seed Fresh/Hat Sen Tuoi</t>
  </si>
  <si>
    <t xml:space="preserve">151118</t>
  </si>
  <si>
    <t xml:space="preserve">Veg - M/room - shitake mushroom fresh/Nam dong co tuoi</t>
  </si>
  <si>
    <t xml:space="preserve">151032</t>
  </si>
  <si>
    <t xml:space="preserve">Veg - M/room -chicken thigh/ Nam dui ga</t>
  </si>
  <si>
    <t xml:space="preserve">151117</t>
  </si>
  <si>
    <t xml:space="preserve">Veg - M/room- enoki mushroom/nam kim cham</t>
  </si>
  <si>
    <t xml:space="preserve">151172</t>
  </si>
  <si>
    <t xml:space="preserve">Veg - Marjoram/Kinh Gioi</t>
  </si>
  <si>
    <t xml:space="preserve">151023</t>
  </si>
  <si>
    <t xml:space="preserve">Veg - Ngot/Rau Ngot</t>
  </si>
  <si>
    <t xml:space="preserve">151037</t>
  </si>
  <si>
    <t xml:space="preserve">Veg - Onion large - China/ Hanh Tay TQ</t>
  </si>
  <si>
    <t xml:space="preserve">151036</t>
  </si>
  <si>
    <t xml:space="preserve">Veg - Onion large Local / Hanh Tay Da lat</t>
  </si>
  <si>
    <t xml:space="preserve">151038</t>
  </si>
  <si>
    <t xml:space="preserve">Veg - Onion Spring clean / Hanh la lam sach</t>
  </si>
  <si>
    <t xml:space="preserve">151042</t>
  </si>
  <si>
    <t xml:space="preserve">Veg - Papaya Green/Du Du Xanh</t>
  </si>
  <si>
    <t xml:space="preserve">151135</t>
  </si>
  <si>
    <t xml:space="preserve">Veg - pennywort/ rau ma</t>
  </si>
  <si>
    <t xml:space="preserve">151138</t>
  </si>
  <si>
    <t xml:space="preserve">Veg - Pepper fresh/ Tieu xanh tuoi</t>
  </si>
  <si>
    <t xml:space="preserve">151171</t>
  </si>
  <si>
    <t xml:space="preserve">Veg - Perilla/ Shiso / Purple Basil/Tia To</t>
  </si>
  <si>
    <t xml:space="preserve">151021</t>
  </si>
  <si>
    <t xml:space="preserve">Veg - Pickled /Dua Chua</t>
  </si>
  <si>
    <t xml:space="preserve">151170</t>
  </si>
  <si>
    <t xml:space="preserve">Veg - Piper Lolot/La Lot</t>
  </si>
  <si>
    <t xml:space="preserve">151122</t>
  </si>
  <si>
    <t xml:space="preserve">Veg - Pokchoy/Cai Thia</t>
  </si>
  <si>
    <t xml:space="preserve">Veg - Polyscias fruticosa Leaves/ La Dinh Lang</t>
  </si>
  <si>
    <t xml:space="preserve">151150</t>
  </si>
  <si>
    <t xml:space="preserve">Veg - Pot - Herbs / Rau day</t>
  </si>
  <si>
    <t xml:space="preserve">151049</t>
  </si>
  <si>
    <t xml:space="preserve">Veg - Potato TQ/Khoai Tay TQ</t>
  </si>
  <si>
    <t xml:space="preserve">151073</t>
  </si>
  <si>
    <t xml:space="preserve">Veg - Pumpkin/Bi Do</t>
  </si>
  <si>
    <t xml:space="preserve">151039</t>
  </si>
  <si>
    <t xml:space="preserve">Veg - Purple Onion large/ Hanh Tay tim</t>
  </si>
  <si>
    <t xml:space="preserve">151074</t>
  </si>
  <si>
    <t xml:space="preserve">Veg - Radish White/Cu Cai Trang</t>
  </si>
  <si>
    <t xml:space="preserve">151030</t>
  </si>
  <si>
    <t xml:space="preserve">Veg - Root-Galangal /Rieng Cu</t>
  </si>
  <si>
    <t xml:space="preserve">151173</t>
  </si>
  <si>
    <t xml:space="preserve">Veg - Salted radish / Cu Cai Muoi</t>
  </si>
  <si>
    <t xml:space="preserve">151040</t>
  </si>
  <si>
    <t xml:space="preserve">Veg - Shallot/Hanh tim</t>
  </si>
  <si>
    <t xml:space="preserve">151017</t>
  </si>
  <si>
    <t xml:space="preserve">Veg - Smooth Leaf/Rau Mong Toi</t>
  </si>
  <si>
    <t xml:space="preserve">Veg - Soft Tofu/ Dau hu non 500gr</t>
  </si>
  <si>
    <t xml:space="preserve">151155</t>
  </si>
  <si>
    <t xml:space="preserve">Veg - soup creeper/ la giang</t>
  </si>
  <si>
    <t xml:space="preserve">151056</t>
  </si>
  <si>
    <t xml:space="preserve">Veg - Spinach/Cai Bo Xoi</t>
  </si>
  <si>
    <t xml:space="preserve">151131</t>
  </si>
  <si>
    <t xml:space="preserve">Veg - Spong Gourd/ muop huong</t>
  </si>
  <si>
    <t xml:space="preserve">151119</t>
  </si>
  <si>
    <t xml:space="preserve">Veg - Squash/Bi dao xanh</t>
  </si>
  <si>
    <t xml:space="preserve">151031</t>
  </si>
  <si>
    <t xml:space="preserve">Veg - Straw Mushroom/Nam rom</t>
  </si>
  <si>
    <t xml:space="preserve">Veg - Sweet potato leaves/ Rau lang</t>
  </si>
  <si>
    <t xml:space="preserve">Veg - Tamarin Fresh/Me Tuoi</t>
  </si>
  <si>
    <t xml:space="preserve">Veg - Tamarind/ me chua</t>
  </si>
  <si>
    <t xml:space="preserve">151045</t>
  </si>
  <si>
    <t xml:space="preserve">Veg - Taro /Khoai Mon</t>
  </si>
  <si>
    <t xml:space="preserve">151069</t>
  </si>
  <si>
    <t xml:space="preserve">Veg - Tomato / Ca Chua</t>
  </si>
  <si>
    <t xml:space="preserve">151070</t>
  </si>
  <si>
    <t xml:space="preserve">Veg - Tomato cherry/ca chua bi</t>
  </si>
  <si>
    <t xml:space="preserve">151167</t>
  </si>
  <si>
    <t xml:space="preserve">Veg - Tuber of coconut / Cu Hu Dua</t>
  </si>
  <si>
    <t xml:space="preserve">151047</t>
  </si>
  <si>
    <t xml:space="preserve">Veg - Turmeric / Cu nghe</t>
  </si>
  <si>
    <t xml:space="preserve">151110</t>
  </si>
  <si>
    <t xml:space="preserve">Veg - Violet Yam Root/ Khoai mo tim</t>
  </si>
  <si>
    <t xml:space="preserve">151123</t>
  </si>
  <si>
    <t xml:space="preserve">Veg - Water Celery/ Can nuoc</t>
  </si>
  <si>
    <t xml:space="preserve">151052</t>
  </si>
  <si>
    <t xml:space="preserve">Veg - Zucchini Green/Bi Ngoi Xanh</t>
  </si>
  <si>
    <t xml:space="preserve">151053</t>
  </si>
  <si>
    <t xml:space="preserve">Veg - Zucchini Yellow /Bi Ngoi Vang</t>
  </si>
  <si>
    <t xml:space="preserve">151203</t>
  </si>
  <si>
    <t xml:space="preserve">Veg Aloe vera Whole/nha dam nguyen cay</t>
  </si>
  <si>
    <t xml:space="preserve">Veg- Apricot Leaf/ La Mo</t>
  </si>
  <si>
    <t xml:space="preserve">Veg- Bok choy/ Cai Chip</t>
  </si>
  <si>
    <t xml:space="preserve">151207</t>
  </si>
  <si>
    <t xml:space="preserve">Veg -carrot/ ca rot</t>
  </si>
  <si>
    <t xml:space="preserve">151202</t>
  </si>
  <si>
    <t xml:space="preserve">Veg Lotus Root Cleaned/ ngo sen tuoi</t>
  </si>
  <si>
    <t xml:space="preserve">151232</t>
  </si>
  <si>
    <t xml:space="preserve">veg-White Ganoderma/ Nam Linh Chi trang</t>
  </si>
  <si>
    <t xml:space="preserve">151200</t>
  </si>
  <si>
    <t xml:space="preserve">Vietnam Shallot peeled/ Hanh tim lot Viet Nam</t>
  </si>
  <si>
    <t xml:space="preserve">Vinamilk yogurt Fruit 100g/ Sua chua vinamilk trai cay</t>
  </si>
  <si>
    <t xml:space="preserve">Vinamilk yogurt has sugar/ Sua chua vinamilk co duong</t>
  </si>
  <si>
    <t xml:space="preserve">Vinamilk yogurt no sugar 100g/ Sua chua vinamilk khong duong</t>
  </si>
  <si>
    <t xml:space="preserve">168013</t>
  </si>
  <si>
    <t xml:space="preserve">Vinegar White 1L/ Dam Trang Coroli 1L</t>
  </si>
  <si>
    <t xml:space="preserve">whole banana corn/ Bap chuoi nguyen trai</t>
  </si>
  <si>
    <t xml:space="preserve">123053</t>
  </si>
  <si>
    <t xml:space="preserve">Yellow Cockle / So duong 10-12con/kg</t>
  </si>
  <si>
    <t xml:space="preserve">Yellow melon/ Dua luoi dai vo vang ruot cam</t>
  </si>
  <si>
    <t xml:space="preserve">Rockmelon Orange core/Dua luoi tron vang ruot cam</t>
  </si>
  <si>
    <t xml:space="preserve">Fish - Mackerel Fresh / Ca thu nguyen con tuoi</t>
  </si>
  <si>
    <t xml:space="preserve">Fresh noodles/ Pho tuoi</t>
  </si>
  <si>
    <t xml:space="preserve">Fruit-Fresh cherry/ Anh dao tuoi</t>
  </si>
  <si>
    <t xml:space="preserve">Veg - Shallot peeled/ Hanh tim lot TQ</t>
  </si>
  <si>
    <t xml:space="preserve">Fish - Frog/ Ech lam sach size 8-10con/kg</t>
  </si>
  <si>
    <t xml:space="preserve">Fruit-Strawberry Fresh/Dau Tay Tuoi</t>
  </si>
  <si>
    <t xml:space="preserve">Honey 600ml/ Mat ong 600ml</t>
  </si>
  <si>
    <t xml:space="preserve">Sour fruit/ Qua tai chua</t>
  </si>
  <si>
    <t xml:space="preserve">Quail Egg/Trung Cut</t>
  </si>
  <si>
    <t xml:space="preserve">ĐẠI DIỆN BÁO GIÁ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</si>
</sst>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(* #,##0_);_(* \(#,##0\);_(* \-??_);_(@_)"/>
    <numFmt numFmtId="167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b val="true"/>
      <sz val="20"/>
      <color theme="1"/>
      <name val="Times New Roman"/>
      <family val="1"/>
      <charset val="1"/>
    </font>
    <font>
      <i val="true"/>
      <sz val="12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fals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 2" xfId="20"/>
  </cellStyles>
  <dxfs count="12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10440</xdr:colOff>
      <xdr:row>4</xdr:row>
      <xdr:rowOff>165240</xdr:rowOff>
    </xdr:from>
    <xdr:to>
      <xdr:col>21</xdr:col>
      <xdr:colOff>344880</xdr:colOff>
      <xdr:row>43</xdr:row>
      <xdr:rowOff>46800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0960560" y="927360"/>
          <a:ext cx="12221640" cy="8397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765625" defaultRowHeight="15" zeroHeight="false" outlineLevelRow="0" outlineLevelCol="0"/>
  <cols>
    <col collapsed="false" customWidth="true" hidden="false" outlineLevel="0" max="1" min="1" style="0" width="5.84"/>
    <col collapsed="false" customWidth="true" hidden="false" outlineLevel="0" max="2" min="2" style="0" width="8.27"/>
    <col collapsed="false" customWidth="true" hidden="false" outlineLevel="0" max="3" min="3" style="0" width="11.51"/>
    <col collapsed="false" customWidth="true" hidden="false" outlineLevel="0" max="4" min="4" style="0" width="66.97"/>
    <col collapsed="false" customWidth="true" hidden="false" outlineLevel="0" max="5" min="5" style="0" width="18"/>
    <col collapsed="false" customWidth="true" hidden="false" outlineLevel="0" max="6" min="6" style="0" width="13.46"/>
    <col collapsed="false" customWidth="true" hidden="false" outlineLevel="0" max="7" min="7" style="1" width="18.33"/>
    <col collapsed="false" customWidth="true" hidden="false" outlineLevel="0" max="257" min="257" style="0" width="5.84"/>
    <col collapsed="false" customWidth="true" hidden="false" outlineLevel="0" max="258" min="258" style="0" width="8.27"/>
    <col collapsed="false" customWidth="true" hidden="false" outlineLevel="0" max="259" min="259" style="0" width="11.51"/>
    <col collapsed="false" customWidth="true" hidden="false" outlineLevel="0" max="260" min="260" style="0" width="66.97"/>
    <col collapsed="false" customWidth="true" hidden="false" outlineLevel="0" max="261" min="261" style="0" width="18"/>
    <col collapsed="false" customWidth="true" hidden="false" outlineLevel="0" max="262" min="262" style="0" width="13.46"/>
    <col collapsed="false" customWidth="true" hidden="false" outlineLevel="0" max="263" min="263" style="0" width="18.33"/>
    <col collapsed="false" customWidth="true" hidden="false" outlineLevel="0" max="513" min="513" style="0" width="5.84"/>
    <col collapsed="false" customWidth="true" hidden="false" outlineLevel="0" max="514" min="514" style="0" width="8.27"/>
    <col collapsed="false" customWidth="true" hidden="false" outlineLevel="0" max="515" min="515" style="0" width="11.51"/>
    <col collapsed="false" customWidth="true" hidden="false" outlineLevel="0" max="516" min="516" style="0" width="66.97"/>
    <col collapsed="false" customWidth="true" hidden="false" outlineLevel="0" max="517" min="517" style="0" width="18"/>
    <col collapsed="false" customWidth="true" hidden="false" outlineLevel="0" max="518" min="518" style="0" width="13.46"/>
    <col collapsed="false" customWidth="true" hidden="false" outlineLevel="0" max="519" min="519" style="0" width="18.33"/>
    <col collapsed="false" customWidth="true" hidden="false" outlineLevel="0" max="769" min="769" style="0" width="5.84"/>
    <col collapsed="false" customWidth="true" hidden="false" outlineLevel="0" max="770" min="770" style="0" width="8.27"/>
    <col collapsed="false" customWidth="true" hidden="false" outlineLevel="0" max="771" min="771" style="0" width="11.51"/>
    <col collapsed="false" customWidth="true" hidden="false" outlineLevel="0" max="772" min="772" style="0" width="66.97"/>
    <col collapsed="false" customWidth="true" hidden="false" outlineLevel="0" max="773" min="773" style="0" width="18"/>
    <col collapsed="false" customWidth="true" hidden="false" outlineLevel="0" max="774" min="774" style="0" width="13.46"/>
    <col collapsed="false" customWidth="true" hidden="false" outlineLevel="0" max="775" min="775" style="0" width="18.33"/>
    <col collapsed="false" customWidth="true" hidden="false" outlineLevel="0" max="1025" min="1025" style="0" width="5.84"/>
    <col collapsed="false" customWidth="true" hidden="false" outlineLevel="0" max="1026" min="1026" style="0" width="8.27"/>
    <col collapsed="false" customWidth="true" hidden="false" outlineLevel="0" max="1027" min="1027" style="0" width="11.51"/>
    <col collapsed="false" customWidth="true" hidden="false" outlineLevel="0" max="1028" min="1028" style="0" width="66.97"/>
    <col collapsed="false" customWidth="true" hidden="false" outlineLevel="0" max="1029" min="1029" style="0" width="18"/>
    <col collapsed="false" customWidth="true" hidden="false" outlineLevel="0" max="1030" min="1030" style="0" width="13.46"/>
    <col collapsed="false" customWidth="true" hidden="false" outlineLevel="0" max="1031" min="1031" style="0" width="18.33"/>
    <col collapsed="false" customWidth="true" hidden="false" outlineLevel="0" max="1281" min="1281" style="0" width="5.84"/>
    <col collapsed="false" customWidth="true" hidden="false" outlineLevel="0" max="1282" min="1282" style="0" width="8.27"/>
    <col collapsed="false" customWidth="true" hidden="false" outlineLevel="0" max="1283" min="1283" style="0" width="11.51"/>
    <col collapsed="false" customWidth="true" hidden="false" outlineLevel="0" max="1284" min="1284" style="0" width="66.97"/>
    <col collapsed="false" customWidth="true" hidden="false" outlineLevel="0" max="1285" min="1285" style="0" width="18"/>
    <col collapsed="false" customWidth="true" hidden="false" outlineLevel="0" max="1286" min="1286" style="0" width="13.46"/>
    <col collapsed="false" customWidth="true" hidden="false" outlineLevel="0" max="1287" min="1287" style="0" width="18.33"/>
    <col collapsed="false" customWidth="true" hidden="false" outlineLevel="0" max="1537" min="1537" style="0" width="5.84"/>
    <col collapsed="false" customWidth="true" hidden="false" outlineLevel="0" max="1538" min="1538" style="0" width="8.27"/>
    <col collapsed="false" customWidth="true" hidden="false" outlineLevel="0" max="1539" min="1539" style="0" width="11.51"/>
    <col collapsed="false" customWidth="true" hidden="false" outlineLevel="0" max="1540" min="1540" style="0" width="66.97"/>
    <col collapsed="false" customWidth="true" hidden="false" outlineLevel="0" max="1541" min="1541" style="0" width="18"/>
    <col collapsed="false" customWidth="true" hidden="false" outlineLevel="0" max="1542" min="1542" style="0" width="13.46"/>
    <col collapsed="false" customWidth="true" hidden="false" outlineLevel="0" max="1543" min="1543" style="0" width="18.33"/>
    <col collapsed="false" customWidth="true" hidden="false" outlineLevel="0" max="1793" min="1793" style="0" width="5.84"/>
    <col collapsed="false" customWidth="true" hidden="false" outlineLevel="0" max="1794" min="1794" style="0" width="8.27"/>
    <col collapsed="false" customWidth="true" hidden="false" outlineLevel="0" max="1795" min="1795" style="0" width="11.51"/>
    <col collapsed="false" customWidth="true" hidden="false" outlineLevel="0" max="1796" min="1796" style="0" width="66.97"/>
    <col collapsed="false" customWidth="true" hidden="false" outlineLevel="0" max="1797" min="1797" style="0" width="18"/>
    <col collapsed="false" customWidth="true" hidden="false" outlineLevel="0" max="1798" min="1798" style="0" width="13.46"/>
    <col collapsed="false" customWidth="true" hidden="false" outlineLevel="0" max="1799" min="1799" style="0" width="18.33"/>
    <col collapsed="false" customWidth="true" hidden="false" outlineLevel="0" max="2049" min="2049" style="0" width="5.84"/>
    <col collapsed="false" customWidth="true" hidden="false" outlineLevel="0" max="2050" min="2050" style="0" width="8.27"/>
    <col collapsed="false" customWidth="true" hidden="false" outlineLevel="0" max="2051" min="2051" style="0" width="11.51"/>
    <col collapsed="false" customWidth="true" hidden="false" outlineLevel="0" max="2052" min="2052" style="0" width="66.97"/>
    <col collapsed="false" customWidth="true" hidden="false" outlineLevel="0" max="2053" min="2053" style="0" width="18"/>
    <col collapsed="false" customWidth="true" hidden="false" outlineLevel="0" max="2054" min="2054" style="0" width="13.46"/>
    <col collapsed="false" customWidth="true" hidden="false" outlineLevel="0" max="2055" min="2055" style="0" width="18.33"/>
    <col collapsed="false" customWidth="true" hidden="false" outlineLevel="0" max="2305" min="2305" style="0" width="5.84"/>
    <col collapsed="false" customWidth="true" hidden="false" outlineLevel="0" max="2306" min="2306" style="0" width="8.27"/>
    <col collapsed="false" customWidth="true" hidden="false" outlineLevel="0" max="2307" min="2307" style="0" width="11.51"/>
    <col collapsed="false" customWidth="true" hidden="false" outlineLevel="0" max="2308" min="2308" style="0" width="66.97"/>
    <col collapsed="false" customWidth="true" hidden="false" outlineLevel="0" max="2309" min="2309" style="0" width="18"/>
    <col collapsed="false" customWidth="true" hidden="false" outlineLevel="0" max="2310" min="2310" style="0" width="13.46"/>
    <col collapsed="false" customWidth="true" hidden="false" outlineLevel="0" max="2311" min="2311" style="0" width="18.33"/>
    <col collapsed="false" customWidth="true" hidden="false" outlineLevel="0" max="2561" min="2561" style="0" width="5.84"/>
    <col collapsed="false" customWidth="true" hidden="false" outlineLevel="0" max="2562" min="2562" style="0" width="8.27"/>
    <col collapsed="false" customWidth="true" hidden="false" outlineLevel="0" max="2563" min="2563" style="0" width="11.51"/>
    <col collapsed="false" customWidth="true" hidden="false" outlineLevel="0" max="2564" min="2564" style="0" width="66.97"/>
    <col collapsed="false" customWidth="true" hidden="false" outlineLevel="0" max="2565" min="2565" style="0" width="18"/>
    <col collapsed="false" customWidth="true" hidden="false" outlineLevel="0" max="2566" min="2566" style="0" width="13.46"/>
    <col collapsed="false" customWidth="true" hidden="false" outlineLevel="0" max="2567" min="2567" style="0" width="18.33"/>
    <col collapsed="false" customWidth="true" hidden="false" outlineLevel="0" max="2817" min="2817" style="0" width="5.84"/>
    <col collapsed="false" customWidth="true" hidden="false" outlineLevel="0" max="2818" min="2818" style="0" width="8.27"/>
    <col collapsed="false" customWidth="true" hidden="false" outlineLevel="0" max="2819" min="2819" style="0" width="11.51"/>
    <col collapsed="false" customWidth="true" hidden="false" outlineLevel="0" max="2820" min="2820" style="0" width="66.97"/>
    <col collapsed="false" customWidth="true" hidden="false" outlineLevel="0" max="2821" min="2821" style="0" width="18"/>
    <col collapsed="false" customWidth="true" hidden="false" outlineLevel="0" max="2822" min="2822" style="0" width="13.46"/>
    <col collapsed="false" customWidth="true" hidden="false" outlineLevel="0" max="2823" min="2823" style="0" width="18.33"/>
    <col collapsed="false" customWidth="true" hidden="false" outlineLevel="0" max="3073" min="3073" style="0" width="5.84"/>
    <col collapsed="false" customWidth="true" hidden="false" outlineLevel="0" max="3074" min="3074" style="0" width="8.27"/>
    <col collapsed="false" customWidth="true" hidden="false" outlineLevel="0" max="3075" min="3075" style="0" width="11.51"/>
    <col collapsed="false" customWidth="true" hidden="false" outlineLevel="0" max="3076" min="3076" style="0" width="66.97"/>
    <col collapsed="false" customWidth="true" hidden="false" outlineLevel="0" max="3077" min="3077" style="0" width="18"/>
    <col collapsed="false" customWidth="true" hidden="false" outlineLevel="0" max="3078" min="3078" style="0" width="13.46"/>
    <col collapsed="false" customWidth="true" hidden="false" outlineLevel="0" max="3079" min="3079" style="0" width="18.33"/>
    <col collapsed="false" customWidth="true" hidden="false" outlineLevel="0" max="3329" min="3329" style="0" width="5.84"/>
    <col collapsed="false" customWidth="true" hidden="false" outlineLevel="0" max="3330" min="3330" style="0" width="8.27"/>
    <col collapsed="false" customWidth="true" hidden="false" outlineLevel="0" max="3331" min="3331" style="0" width="11.51"/>
    <col collapsed="false" customWidth="true" hidden="false" outlineLevel="0" max="3332" min="3332" style="0" width="66.97"/>
    <col collapsed="false" customWidth="true" hidden="false" outlineLevel="0" max="3333" min="3333" style="0" width="18"/>
    <col collapsed="false" customWidth="true" hidden="false" outlineLevel="0" max="3334" min="3334" style="0" width="13.46"/>
    <col collapsed="false" customWidth="true" hidden="false" outlineLevel="0" max="3335" min="3335" style="0" width="18.33"/>
    <col collapsed="false" customWidth="true" hidden="false" outlineLevel="0" max="3585" min="3585" style="0" width="5.84"/>
    <col collapsed="false" customWidth="true" hidden="false" outlineLevel="0" max="3586" min="3586" style="0" width="8.27"/>
    <col collapsed="false" customWidth="true" hidden="false" outlineLevel="0" max="3587" min="3587" style="0" width="11.51"/>
    <col collapsed="false" customWidth="true" hidden="false" outlineLevel="0" max="3588" min="3588" style="0" width="66.97"/>
    <col collapsed="false" customWidth="true" hidden="false" outlineLevel="0" max="3589" min="3589" style="0" width="18"/>
    <col collapsed="false" customWidth="true" hidden="false" outlineLevel="0" max="3590" min="3590" style="0" width="13.46"/>
    <col collapsed="false" customWidth="true" hidden="false" outlineLevel="0" max="3591" min="3591" style="0" width="18.33"/>
    <col collapsed="false" customWidth="true" hidden="false" outlineLevel="0" max="3841" min="3841" style="0" width="5.84"/>
    <col collapsed="false" customWidth="true" hidden="false" outlineLevel="0" max="3842" min="3842" style="0" width="8.27"/>
    <col collapsed="false" customWidth="true" hidden="false" outlineLevel="0" max="3843" min="3843" style="0" width="11.51"/>
    <col collapsed="false" customWidth="true" hidden="false" outlineLevel="0" max="3844" min="3844" style="0" width="66.97"/>
    <col collapsed="false" customWidth="true" hidden="false" outlineLevel="0" max="3845" min="3845" style="0" width="18"/>
    <col collapsed="false" customWidth="true" hidden="false" outlineLevel="0" max="3846" min="3846" style="0" width="13.46"/>
    <col collapsed="false" customWidth="true" hidden="false" outlineLevel="0" max="3847" min="3847" style="0" width="18.33"/>
    <col collapsed="false" customWidth="true" hidden="false" outlineLevel="0" max="4097" min="4097" style="0" width="5.84"/>
    <col collapsed="false" customWidth="true" hidden="false" outlineLevel="0" max="4098" min="4098" style="0" width="8.27"/>
    <col collapsed="false" customWidth="true" hidden="false" outlineLevel="0" max="4099" min="4099" style="0" width="11.51"/>
    <col collapsed="false" customWidth="true" hidden="false" outlineLevel="0" max="4100" min="4100" style="0" width="66.97"/>
    <col collapsed="false" customWidth="true" hidden="false" outlineLevel="0" max="4101" min="4101" style="0" width="18"/>
    <col collapsed="false" customWidth="true" hidden="false" outlineLevel="0" max="4102" min="4102" style="0" width="13.46"/>
    <col collapsed="false" customWidth="true" hidden="false" outlineLevel="0" max="4103" min="4103" style="0" width="18.33"/>
    <col collapsed="false" customWidth="true" hidden="false" outlineLevel="0" max="4353" min="4353" style="0" width="5.84"/>
    <col collapsed="false" customWidth="true" hidden="false" outlineLevel="0" max="4354" min="4354" style="0" width="8.27"/>
    <col collapsed="false" customWidth="true" hidden="false" outlineLevel="0" max="4355" min="4355" style="0" width="11.51"/>
    <col collapsed="false" customWidth="true" hidden="false" outlineLevel="0" max="4356" min="4356" style="0" width="66.97"/>
    <col collapsed="false" customWidth="true" hidden="false" outlineLevel="0" max="4357" min="4357" style="0" width="18"/>
    <col collapsed="false" customWidth="true" hidden="false" outlineLevel="0" max="4358" min="4358" style="0" width="13.46"/>
    <col collapsed="false" customWidth="true" hidden="false" outlineLevel="0" max="4359" min="4359" style="0" width="18.33"/>
    <col collapsed="false" customWidth="true" hidden="false" outlineLevel="0" max="4609" min="4609" style="0" width="5.84"/>
    <col collapsed="false" customWidth="true" hidden="false" outlineLevel="0" max="4610" min="4610" style="0" width="8.27"/>
    <col collapsed="false" customWidth="true" hidden="false" outlineLevel="0" max="4611" min="4611" style="0" width="11.51"/>
    <col collapsed="false" customWidth="true" hidden="false" outlineLevel="0" max="4612" min="4612" style="0" width="66.97"/>
    <col collapsed="false" customWidth="true" hidden="false" outlineLevel="0" max="4613" min="4613" style="0" width="18"/>
    <col collapsed="false" customWidth="true" hidden="false" outlineLevel="0" max="4614" min="4614" style="0" width="13.46"/>
    <col collapsed="false" customWidth="true" hidden="false" outlineLevel="0" max="4615" min="4615" style="0" width="18.33"/>
    <col collapsed="false" customWidth="true" hidden="false" outlineLevel="0" max="4865" min="4865" style="0" width="5.84"/>
    <col collapsed="false" customWidth="true" hidden="false" outlineLevel="0" max="4866" min="4866" style="0" width="8.27"/>
    <col collapsed="false" customWidth="true" hidden="false" outlineLevel="0" max="4867" min="4867" style="0" width="11.51"/>
    <col collapsed="false" customWidth="true" hidden="false" outlineLevel="0" max="4868" min="4868" style="0" width="66.97"/>
    <col collapsed="false" customWidth="true" hidden="false" outlineLevel="0" max="4869" min="4869" style="0" width="18"/>
    <col collapsed="false" customWidth="true" hidden="false" outlineLevel="0" max="4870" min="4870" style="0" width="13.46"/>
    <col collapsed="false" customWidth="true" hidden="false" outlineLevel="0" max="4871" min="4871" style="0" width="18.33"/>
    <col collapsed="false" customWidth="true" hidden="false" outlineLevel="0" max="5121" min="5121" style="0" width="5.84"/>
    <col collapsed="false" customWidth="true" hidden="false" outlineLevel="0" max="5122" min="5122" style="0" width="8.27"/>
    <col collapsed="false" customWidth="true" hidden="false" outlineLevel="0" max="5123" min="5123" style="0" width="11.51"/>
    <col collapsed="false" customWidth="true" hidden="false" outlineLevel="0" max="5124" min="5124" style="0" width="66.97"/>
    <col collapsed="false" customWidth="true" hidden="false" outlineLevel="0" max="5125" min="5125" style="0" width="18"/>
    <col collapsed="false" customWidth="true" hidden="false" outlineLevel="0" max="5126" min="5126" style="0" width="13.46"/>
    <col collapsed="false" customWidth="true" hidden="false" outlineLevel="0" max="5127" min="5127" style="0" width="18.33"/>
    <col collapsed="false" customWidth="true" hidden="false" outlineLevel="0" max="5377" min="5377" style="0" width="5.84"/>
    <col collapsed="false" customWidth="true" hidden="false" outlineLevel="0" max="5378" min="5378" style="0" width="8.27"/>
    <col collapsed="false" customWidth="true" hidden="false" outlineLevel="0" max="5379" min="5379" style="0" width="11.51"/>
    <col collapsed="false" customWidth="true" hidden="false" outlineLevel="0" max="5380" min="5380" style="0" width="66.97"/>
    <col collapsed="false" customWidth="true" hidden="false" outlineLevel="0" max="5381" min="5381" style="0" width="18"/>
    <col collapsed="false" customWidth="true" hidden="false" outlineLevel="0" max="5382" min="5382" style="0" width="13.46"/>
    <col collapsed="false" customWidth="true" hidden="false" outlineLevel="0" max="5383" min="5383" style="0" width="18.33"/>
    <col collapsed="false" customWidth="true" hidden="false" outlineLevel="0" max="5633" min="5633" style="0" width="5.84"/>
    <col collapsed="false" customWidth="true" hidden="false" outlineLevel="0" max="5634" min="5634" style="0" width="8.27"/>
    <col collapsed="false" customWidth="true" hidden="false" outlineLevel="0" max="5635" min="5635" style="0" width="11.51"/>
    <col collapsed="false" customWidth="true" hidden="false" outlineLevel="0" max="5636" min="5636" style="0" width="66.97"/>
    <col collapsed="false" customWidth="true" hidden="false" outlineLevel="0" max="5637" min="5637" style="0" width="18"/>
    <col collapsed="false" customWidth="true" hidden="false" outlineLevel="0" max="5638" min="5638" style="0" width="13.46"/>
    <col collapsed="false" customWidth="true" hidden="false" outlineLevel="0" max="5639" min="5639" style="0" width="18.33"/>
    <col collapsed="false" customWidth="true" hidden="false" outlineLevel="0" max="5889" min="5889" style="0" width="5.84"/>
    <col collapsed="false" customWidth="true" hidden="false" outlineLevel="0" max="5890" min="5890" style="0" width="8.27"/>
    <col collapsed="false" customWidth="true" hidden="false" outlineLevel="0" max="5891" min="5891" style="0" width="11.51"/>
    <col collapsed="false" customWidth="true" hidden="false" outlineLevel="0" max="5892" min="5892" style="0" width="66.97"/>
    <col collapsed="false" customWidth="true" hidden="false" outlineLevel="0" max="5893" min="5893" style="0" width="18"/>
    <col collapsed="false" customWidth="true" hidden="false" outlineLevel="0" max="5894" min="5894" style="0" width="13.46"/>
    <col collapsed="false" customWidth="true" hidden="false" outlineLevel="0" max="5895" min="5895" style="0" width="18.33"/>
    <col collapsed="false" customWidth="true" hidden="false" outlineLevel="0" max="6145" min="6145" style="0" width="5.84"/>
    <col collapsed="false" customWidth="true" hidden="false" outlineLevel="0" max="6146" min="6146" style="0" width="8.27"/>
    <col collapsed="false" customWidth="true" hidden="false" outlineLevel="0" max="6147" min="6147" style="0" width="11.51"/>
    <col collapsed="false" customWidth="true" hidden="false" outlineLevel="0" max="6148" min="6148" style="0" width="66.97"/>
    <col collapsed="false" customWidth="true" hidden="false" outlineLevel="0" max="6149" min="6149" style="0" width="18"/>
    <col collapsed="false" customWidth="true" hidden="false" outlineLevel="0" max="6150" min="6150" style="0" width="13.46"/>
    <col collapsed="false" customWidth="true" hidden="false" outlineLevel="0" max="6151" min="6151" style="0" width="18.33"/>
    <col collapsed="false" customWidth="true" hidden="false" outlineLevel="0" max="6401" min="6401" style="0" width="5.84"/>
    <col collapsed="false" customWidth="true" hidden="false" outlineLevel="0" max="6402" min="6402" style="0" width="8.27"/>
    <col collapsed="false" customWidth="true" hidden="false" outlineLevel="0" max="6403" min="6403" style="0" width="11.51"/>
    <col collapsed="false" customWidth="true" hidden="false" outlineLevel="0" max="6404" min="6404" style="0" width="66.97"/>
    <col collapsed="false" customWidth="true" hidden="false" outlineLevel="0" max="6405" min="6405" style="0" width="18"/>
    <col collapsed="false" customWidth="true" hidden="false" outlineLevel="0" max="6406" min="6406" style="0" width="13.46"/>
    <col collapsed="false" customWidth="true" hidden="false" outlineLevel="0" max="6407" min="6407" style="0" width="18.33"/>
    <col collapsed="false" customWidth="true" hidden="false" outlineLevel="0" max="6657" min="6657" style="0" width="5.84"/>
    <col collapsed="false" customWidth="true" hidden="false" outlineLevel="0" max="6658" min="6658" style="0" width="8.27"/>
    <col collapsed="false" customWidth="true" hidden="false" outlineLevel="0" max="6659" min="6659" style="0" width="11.51"/>
    <col collapsed="false" customWidth="true" hidden="false" outlineLevel="0" max="6660" min="6660" style="0" width="66.97"/>
    <col collapsed="false" customWidth="true" hidden="false" outlineLevel="0" max="6661" min="6661" style="0" width="18"/>
    <col collapsed="false" customWidth="true" hidden="false" outlineLevel="0" max="6662" min="6662" style="0" width="13.46"/>
    <col collapsed="false" customWidth="true" hidden="false" outlineLevel="0" max="6663" min="6663" style="0" width="18.33"/>
    <col collapsed="false" customWidth="true" hidden="false" outlineLevel="0" max="6913" min="6913" style="0" width="5.84"/>
    <col collapsed="false" customWidth="true" hidden="false" outlineLevel="0" max="6914" min="6914" style="0" width="8.27"/>
    <col collapsed="false" customWidth="true" hidden="false" outlineLevel="0" max="6915" min="6915" style="0" width="11.51"/>
    <col collapsed="false" customWidth="true" hidden="false" outlineLevel="0" max="6916" min="6916" style="0" width="66.97"/>
    <col collapsed="false" customWidth="true" hidden="false" outlineLevel="0" max="6917" min="6917" style="0" width="18"/>
    <col collapsed="false" customWidth="true" hidden="false" outlineLevel="0" max="6918" min="6918" style="0" width="13.46"/>
    <col collapsed="false" customWidth="true" hidden="false" outlineLevel="0" max="6919" min="6919" style="0" width="18.33"/>
    <col collapsed="false" customWidth="true" hidden="false" outlineLevel="0" max="7169" min="7169" style="0" width="5.84"/>
    <col collapsed="false" customWidth="true" hidden="false" outlineLevel="0" max="7170" min="7170" style="0" width="8.27"/>
    <col collapsed="false" customWidth="true" hidden="false" outlineLevel="0" max="7171" min="7171" style="0" width="11.51"/>
    <col collapsed="false" customWidth="true" hidden="false" outlineLevel="0" max="7172" min="7172" style="0" width="66.97"/>
    <col collapsed="false" customWidth="true" hidden="false" outlineLevel="0" max="7173" min="7173" style="0" width="18"/>
    <col collapsed="false" customWidth="true" hidden="false" outlineLevel="0" max="7174" min="7174" style="0" width="13.46"/>
    <col collapsed="false" customWidth="true" hidden="false" outlineLevel="0" max="7175" min="7175" style="0" width="18.33"/>
    <col collapsed="false" customWidth="true" hidden="false" outlineLevel="0" max="7425" min="7425" style="0" width="5.84"/>
    <col collapsed="false" customWidth="true" hidden="false" outlineLevel="0" max="7426" min="7426" style="0" width="8.27"/>
    <col collapsed="false" customWidth="true" hidden="false" outlineLevel="0" max="7427" min="7427" style="0" width="11.51"/>
    <col collapsed="false" customWidth="true" hidden="false" outlineLevel="0" max="7428" min="7428" style="0" width="66.97"/>
    <col collapsed="false" customWidth="true" hidden="false" outlineLevel="0" max="7429" min="7429" style="0" width="18"/>
    <col collapsed="false" customWidth="true" hidden="false" outlineLevel="0" max="7430" min="7430" style="0" width="13.46"/>
    <col collapsed="false" customWidth="true" hidden="false" outlineLevel="0" max="7431" min="7431" style="0" width="18.33"/>
    <col collapsed="false" customWidth="true" hidden="false" outlineLevel="0" max="7681" min="7681" style="0" width="5.84"/>
    <col collapsed="false" customWidth="true" hidden="false" outlineLevel="0" max="7682" min="7682" style="0" width="8.27"/>
    <col collapsed="false" customWidth="true" hidden="false" outlineLevel="0" max="7683" min="7683" style="0" width="11.51"/>
    <col collapsed="false" customWidth="true" hidden="false" outlineLevel="0" max="7684" min="7684" style="0" width="66.97"/>
    <col collapsed="false" customWidth="true" hidden="false" outlineLevel="0" max="7685" min="7685" style="0" width="18"/>
    <col collapsed="false" customWidth="true" hidden="false" outlineLevel="0" max="7686" min="7686" style="0" width="13.46"/>
    <col collapsed="false" customWidth="true" hidden="false" outlineLevel="0" max="7687" min="7687" style="0" width="18.33"/>
    <col collapsed="false" customWidth="true" hidden="false" outlineLevel="0" max="7937" min="7937" style="0" width="5.84"/>
    <col collapsed="false" customWidth="true" hidden="false" outlineLevel="0" max="7938" min="7938" style="0" width="8.27"/>
    <col collapsed="false" customWidth="true" hidden="false" outlineLevel="0" max="7939" min="7939" style="0" width="11.51"/>
    <col collapsed="false" customWidth="true" hidden="false" outlineLevel="0" max="7940" min="7940" style="0" width="66.97"/>
    <col collapsed="false" customWidth="true" hidden="false" outlineLevel="0" max="7941" min="7941" style="0" width="18"/>
    <col collapsed="false" customWidth="true" hidden="false" outlineLevel="0" max="7942" min="7942" style="0" width="13.46"/>
    <col collapsed="false" customWidth="true" hidden="false" outlineLevel="0" max="7943" min="7943" style="0" width="18.33"/>
    <col collapsed="false" customWidth="true" hidden="false" outlineLevel="0" max="8193" min="8193" style="0" width="5.84"/>
    <col collapsed="false" customWidth="true" hidden="false" outlineLevel="0" max="8194" min="8194" style="0" width="8.27"/>
    <col collapsed="false" customWidth="true" hidden="false" outlineLevel="0" max="8195" min="8195" style="0" width="11.51"/>
    <col collapsed="false" customWidth="true" hidden="false" outlineLevel="0" max="8196" min="8196" style="0" width="66.97"/>
    <col collapsed="false" customWidth="true" hidden="false" outlineLevel="0" max="8197" min="8197" style="0" width="18"/>
    <col collapsed="false" customWidth="true" hidden="false" outlineLevel="0" max="8198" min="8198" style="0" width="13.46"/>
    <col collapsed="false" customWidth="true" hidden="false" outlineLevel="0" max="8199" min="8199" style="0" width="18.33"/>
    <col collapsed="false" customWidth="true" hidden="false" outlineLevel="0" max="8449" min="8449" style="0" width="5.84"/>
    <col collapsed="false" customWidth="true" hidden="false" outlineLevel="0" max="8450" min="8450" style="0" width="8.27"/>
    <col collapsed="false" customWidth="true" hidden="false" outlineLevel="0" max="8451" min="8451" style="0" width="11.51"/>
    <col collapsed="false" customWidth="true" hidden="false" outlineLevel="0" max="8452" min="8452" style="0" width="66.97"/>
    <col collapsed="false" customWidth="true" hidden="false" outlineLevel="0" max="8453" min="8453" style="0" width="18"/>
    <col collapsed="false" customWidth="true" hidden="false" outlineLevel="0" max="8454" min="8454" style="0" width="13.46"/>
    <col collapsed="false" customWidth="true" hidden="false" outlineLevel="0" max="8455" min="8455" style="0" width="18.33"/>
    <col collapsed="false" customWidth="true" hidden="false" outlineLevel="0" max="8705" min="8705" style="0" width="5.84"/>
    <col collapsed="false" customWidth="true" hidden="false" outlineLevel="0" max="8706" min="8706" style="0" width="8.27"/>
    <col collapsed="false" customWidth="true" hidden="false" outlineLevel="0" max="8707" min="8707" style="0" width="11.51"/>
    <col collapsed="false" customWidth="true" hidden="false" outlineLevel="0" max="8708" min="8708" style="0" width="66.97"/>
    <col collapsed="false" customWidth="true" hidden="false" outlineLevel="0" max="8709" min="8709" style="0" width="18"/>
    <col collapsed="false" customWidth="true" hidden="false" outlineLevel="0" max="8710" min="8710" style="0" width="13.46"/>
    <col collapsed="false" customWidth="true" hidden="false" outlineLevel="0" max="8711" min="8711" style="0" width="18.33"/>
    <col collapsed="false" customWidth="true" hidden="false" outlineLevel="0" max="8961" min="8961" style="0" width="5.84"/>
    <col collapsed="false" customWidth="true" hidden="false" outlineLevel="0" max="8962" min="8962" style="0" width="8.27"/>
    <col collapsed="false" customWidth="true" hidden="false" outlineLevel="0" max="8963" min="8963" style="0" width="11.51"/>
    <col collapsed="false" customWidth="true" hidden="false" outlineLevel="0" max="8964" min="8964" style="0" width="66.97"/>
    <col collapsed="false" customWidth="true" hidden="false" outlineLevel="0" max="8965" min="8965" style="0" width="18"/>
    <col collapsed="false" customWidth="true" hidden="false" outlineLevel="0" max="8966" min="8966" style="0" width="13.46"/>
    <col collapsed="false" customWidth="true" hidden="false" outlineLevel="0" max="8967" min="8967" style="0" width="18.33"/>
    <col collapsed="false" customWidth="true" hidden="false" outlineLevel="0" max="9217" min="9217" style="0" width="5.84"/>
    <col collapsed="false" customWidth="true" hidden="false" outlineLevel="0" max="9218" min="9218" style="0" width="8.27"/>
    <col collapsed="false" customWidth="true" hidden="false" outlineLevel="0" max="9219" min="9219" style="0" width="11.51"/>
    <col collapsed="false" customWidth="true" hidden="false" outlineLevel="0" max="9220" min="9220" style="0" width="66.97"/>
    <col collapsed="false" customWidth="true" hidden="false" outlineLevel="0" max="9221" min="9221" style="0" width="18"/>
    <col collapsed="false" customWidth="true" hidden="false" outlineLevel="0" max="9222" min="9222" style="0" width="13.46"/>
    <col collapsed="false" customWidth="true" hidden="false" outlineLevel="0" max="9223" min="9223" style="0" width="18.33"/>
    <col collapsed="false" customWidth="true" hidden="false" outlineLevel="0" max="9473" min="9473" style="0" width="5.84"/>
    <col collapsed="false" customWidth="true" hidden="false" outlineLevel="0" max="9474" min="9474" style="0" width="8.27"/>
    <col collapsed="false" customWidth="true" hidden="false" outlineLevel="0" max="9475" min="9475" style="0" width="11.51"/>
    <col collapsed="false" customWidth="true" hidden="false" outlineLevel="0" max="9476" min="9476" style="0" width="66.97"/>
    <col collapsed="false" customWidth="true" hidden="false" outlineLevel="0" max="9477" min="9477" style="0" width="18"/>
    <col collapsed="false" customWidth="true" hidden="false" outlineLevel="0" max="9478" min="9478" style="0" width="13.46"/>
    <col collapsed="false" customWidth="true" hidden="false" outlineLevel="0" max="9479" min="9479" style="0" width="18.33"/>
    <col collapsed="false" customWidth="true" hidden="false" outlineLevel="0" max="9729" min="9729" style="0" width="5.84"/>
    <col collapsed="false" customWidth="true" hidden="false" outlineLevel="0" max="9730" min="9730" style="0" width="8.27"/>
    <col collapsed="false" customWidth="true" hidden="false" outlineLevel="0" max="9731" min="9731" style="0" width="11.51"/>
    <col collapsed="false" customWidth="true" hidden="false" outlineLevel="0" max="9732" min="9732" style="0" width="66.97"/>
    <col collapsed="false" customWidth="true" hidden="false" outlineLevel="0" max="9733" min="9733" style="0" width="18"/>
    <col collapsed="false" customWidth="true" hidden="false" outlineLevel="0" max="9734" min="9734" style="0" width="13.46"/>
    <col collapsed="false" customWidth="true" hidden="false" outlineLevel="0" max="9735" min="9735" style="0" width="18.33"/>
    <col collapsed="false" customWidth="true" hidden="false" outlineLevel="0" max="9985" min="9985" style="0" width="5.84"/>
    <col collapsed="false" customWidth="true" hidden="false" outlineLevel="0" max="9986" min="9986" style="0" width="8.27"/>
    <col collapsed="false" customWidth="true" hidden="false" outlineLevel="0" max="9987" min="9987" style="0" width="11.51"/>
    <col collapsed="false" customWidth="true" hidden="false" outlineLevel="0" max="9988" min="9988" style="0" width="66.97"/>
    <col collapsed="false" customWidth="true" hidden="false" outlineLevel="0" max="9989" min="9989" style="0" width="18"/>
    <col collapsed="false" customWidth="true" hidden="false" outlineLevel="0" max="9990" min="9990" style="0" width="13.46"/>
    <col collapsed="false" customWidth="true" hidden="false" outlineLevel="0" max="9991" min="9991" style="0" width="18.33"/>
    <col collapsed="false" customWidth="true" hidden="false" outlineLevel="0" max="10241" min="10241" style="0" width="5.84"/>
    <col collapsed="false" customWidth="true" hidden="false" outlineLevel="0" max="10242" min="10242" style="0" width="8.27"/>
    <col collapsed="false" customWidth="true" hidden="false" outlineLevel="0" max="10243" min="10243" style="0" width="11.51"/>
    <col collapsed="false" customWidth="true" hidden="false" outlineLevel="0" max="10244" min="10244" style="0" width="66.97"/>
    <col collapsed="false" customWidth="true" hidden="false" outlineLevel="0" max="10245" min="10245" style="0" width="18"/>
    <col collapsed="false" customWidth="true" hidden="false" outlineLevel="0" max="10246" min="10246" style="0" width="13.46"/>
    <col collapsed="false" customWidth="true" hidden="false" outlineLevel="0" max="10247" min="10247" style="0" width="18.33"/>
    <col collapsed="false" customWidth="true" hidden="false" outlineLevel="0" max="10497" min="10497" style="0" width="5.84"/>
    <col collapsed="false" customWidth="true" hidden="false" outlineLevel="0" max="10498" min="10498" style="0" width="8.27"/>
    <col collapsed="false" customWidth="true" hidden="false" outlineLevel="0" max="10499" min="10499" style="0" width="11.51"/>
    <col collapsed="false" customWidth="true" hidden="false" outlineLevel="0" max="10500" min="10500" style="0" width="66.97"/>
    <col collapsed="false" customWidth="true" hidden="false" outlineLevel="0" max="10501" min="10501" style="0" width="18"/>
    <col collapsed="false" customWidth="true" hidden="false" outlineLevel="0" max="10502" min="10502" style="0" width="13.46"/>
    <col collapsed="false" customWidth="true" hidden="false" outlineLevel="0" max="10503" min="10503" style="0" width="18.33"/>
    <col collapsed="false" customWidth="true" hidden="false" outlineLevel="0" max="10753" min="10753" style="0" width="5.84"/>
    <col collapsed="false" customWidth="true" hidden="false" outlineLevel="0" max="10754" min="10754" style="0" width="8.27"/>
    <col collapsed="false" customWidth="true" hidden="false" outlineLevel="0" max="10755" min="10755" style="0" width="11.51"/>
    <col collapsed="false" customWidth="true" hidden="false" outlineLevel="0" max="10756" min="10756" style="0" width="66.97"/>
    <col collapsed="false" customWidth="true" hidden="false" outlineLevel="0" max="10757" min="10757" style="0" width="18"/>
    <col collapsed="false" customWidth="true" hidden="false" outlineLevel="0" max="10758" min="10758" style="0" width="13.46"/>
    <col collapsed="false" customWidth="true" hidden="false" outlineLevel="0" max="10759" min="10759" style="0" width="18.33"/>
    <col collapsed="false" customWidth="true" hidden="false" outlineLevel="0" max="11009" min="11009" style="0" width="5.84"/>
    <col collapsed="false" customWidth="true" hidden="false" outlineLevel="0" max="11010" min="11010" style="0" width="8.27"/>
    <col collapsed="false" customWidth="true" hidden="false" outlineLevel="0" max="11011" min="11011" style="0" width="11.51"/>
    <col collapsed="false" customWidth="true" hidden="false" outlineLevel="0" max="11012" min="11012" style="0" width="66.97"/>
    <col collapsed="false" customWidth="true" hidden="false" outlineLevel="0" max="11013" min="11013" style="0" width="18"/>
    <col collapsed="false" customWidth="true" hidden="false" outlineLevel="0" max="11014" min="11014" style="0" width="13.46"/>
    <col collapsed="false" customWidth="true" hidden="false" outlineLevel="0" max="11015" min="11015" style="0" width="18.33"/>
    <col collapsed="false" customWidth="true" hidden="false" outlineLevel="0" max="11265" min="11265" style="0" width="5.84"/>
    <col collapsed="false" customWidth="true" hidden="false" outlineLevel="0" max="11266" min="11266" style="0" width="8.27"/>
    <col collapsed="false" customWidth="true" hidden="false" outlineLevel="0" max="11267" min="11267" style="0" width="11.51"/>
    <col collapsed="false" customWidth="true" hidden="false" outlineLevel="0" max="11268" min="11268" style="0" width="66.97"/>
    <col collapsed="false" customWidth="true" hidden="false" outlineLevel="0" max="11269" min="11269" style="0" width="18"/>
    <col collapsed="false" customWidth="true" hidden="false" outlineLevel="0" max="11270" min="11270" style="0" width="13.46"/>
    <col collapsed="false" customWidth="true" hidden="false" outlineLevel="0" max="11271" min="11271" style="0" width="18.33"/>
    <col collapsed="false" customWidth="true" hidden="false" outlineLevel="0" max="11521" min="11521" style="0" width="5.84"/>
    <col collapsed="false" customWidth="true" hidden="false" outlineLevel="0" max="11522" min="11522" style="0" width="8.27"/>
    <col collapsed="false" customWidth="true" hidden="false" outlineLevel="0" max="11523" min="11523" style="0" width="11.51"/>
    <col collapsed="false" customWidth="true" hidden="false" outlineLevel="0" max="11524" min="11524" style="0" width="66.97"/>
    <col collapsed="false" customWidth="true" hidden="false" outlineLevel="0" max="11525" min="11525" style="0" width="18"/>
    <col collapsed="false" customWidth="true" hidden="false" outlineLevel="0" max="11526" min="11526" style="0" width="13.46"/>
    <col collapsed="false" customWidth="true" hidden="false" outlineLevel="0" max="11527" min="11527" style="0" width="18.33"/>
    <col collapsed="false" customWidth="true" hidden="false" outlineLevel="0" max="11777" min="11777" style="0" width="5.84"/>
    <col collapsed="false" customWidth="true" hidden="false" outlineLevel="0" max="11778" min="11778" style="0" width="8.27"/>
    <col collapsed="false" customWidth="true" hidden="false" outlineLevel="0" max="11779" min="11779" style="0" width="11.51"/>
    <col collapsed="false" customWidth="true" hidden="false" outlineLevel="0" max="11780" min="11780" style="0" width="66.97"/>
    <col collapsed="false" customWidth="true" hidden="false" outlineLevel="0" max="11781" min="11781" style="0" width="18"/>
    <col collapsed="false" customWidth="true" hidden="false" outlineLevel="0" max="11782" min="11782" style="0" width="13.46"/>
    <col collapsed="false" customWidth="true" hidden="false" outlineLevel="0" max="11783" min="11783" style="0" width="18.33"/>
    <col collapsed="false" customWidth="true" hidden="false" outlineLevel="0" max="12033" min="12033" style="0" width="5.84"/>
    <col collapsed="false" customWidth="true" hidden="false" outlineLevel="0" max="12034" min="12034" style="0" width="8.27"/>
    <col collapsed="false" customWidth="true" hidden="false" outlineLevel="0" max="12035" min="12035" style="0" width="11.51"/>
    <col collapsed="false" customWidth="true" hidden="false" outlineLevel="0" max="12036" min="12036" style="0" width="66.97"/>
    <col collapsed="false" customWidth="true" hidden="false" outlineLevel="0" max="12037" min="12037" style="0" width="18"/>
    <col collapsed="false" customWidth="true" hidden="false" outlineLevel="0" max="12038" min="12038" style="0" width="13.46"/>
    <col collapsed="false" customWidth="true" hidden="false" outlineLevel="0" max="12039" min="12039" style="0" width="18.33"/>
    <col collapsed="false" customWidth="true" hidden="false" outlineLevel="0" max="12289" min="12289" style="0" width="5.84"/>
    <col collapsed="false" customWidth="true" hidden="false" outlineLevel="0" max="12290" min="12290" style="0" width="8.27"/>
    <col collapsed="false" customWidth="true" hidden="false" outlineLevel="0" max="12291" min="12291" style="0" width="11.51"/>
    <col collapsed="false" customWidth="true" hidden="false" outlineLevel="0" max="12292" min="12292" style="0" width="66.97"/>
    <col collapsed="false" customWidth="true" hidden="false" outlineLevel="0" max="12293" min="12293" style="0" width="18"/>
    <col collapsed="false" customWidth="true" hidden="false" outlineLevel="0" max="12294" min="12294" style="0" width="13.46"/>
    <col collapsed="false" customWidth="true" hidden="false" outlineLevel="0" max="12295" min="12295" style="0" width="18.33"/>
    <col collapsed="false" customWidth="true" hidden="false" outlineLevel="0" max="12545" min="12545" style="0" width="5.84"/>
    <col collapsed="false" customWidth="true" hidden="false" outlineLevel="0" max="12546" min="12546" style="0" width="8.27"/>
    <col collapsed="false" customWidth="true" hidden="false" outlineLevel="0" max="12547" min="12547" style="0" width="11.51"/>
    <col collapsed="false" customWidth="true" hidden="false" outlineLevel="0" max="12548" min="12548" style="0" width="66.97"/>
    <col collapsed="false" customWidth="true" hidden="false" outlineLevel="0" max="12549" min="12549" style="0" width="18"/>
    <col collapsed="false" customWidth="true" hidden="false" outlineLevel="0" max="12550" min="12550" style="0" width="13.46"/>
    <col collapsed="false" customWidth="true" hidden="false" outlineLevel="0" max="12551" min="12551" style="0" width="18.33"/>
    <col collapsed="false" customWidth="true" hidden="false" outlineLevel="0" max="12801" min="12801" style="0" width="5.84"/>
    <col collapsed="false" customWidth="true" hidden="false" outlineLevel="0" max="12802" min="12802" style="0" width="8.27"/>
    <col collapsed="false" customWidth="true" hidden="false" outlineLevel="0" max="12803" min="12803" style="0" width="11.51"/>
    <col collapsed="false" customWidth="true" hidden="false" outlineLevel="0" max="12804" min="12804" style="0" width="66.97"/>
    <col collapsed="false" customWidth="true" hidden="false" outlineLevel="0" max="12805" min="12805" style="0" width="18"/>
    <col collapsed="false" customWidth="true" hidden="false" outlineLevel="0" max="12806" min="12806" style="0" width="13.46"/>
    <col collapsed="false" customWidth="true" hidden="false" outlineLevel="0" max="12807" min="12807" style="0" width="18.33"/>
    <col collapsed="false" customWidth="true" hidden="false" outlineLevel="0" max="13057" min="13057" style="0" width="5.84"/>
    <col collapsed="false" customWidth="true" hidden="false" outlineLevel="0" max="13058" min="13058" style="0" width="8.27"/>
    <col collapsed="false" customWidth="true" hidden="false" outlineLevel="0" max="13059" min="13059" style="0" width="11.51"/>
    <col collapsed="false" customWidth="true" hidden="false" outlineLevel="0" max="13060" min="13060" style="0" width="66.97"/>
    <col collapsed="false" customWidth="true" hidden="false" outlineLevel="0" max="13061" min="13061" style="0" width="18"/>
    <col collapsed="false" customWidth="true" hidden="false" outlineLevel="0" max="13062" min="13062" style="0" width="13.46"/>
    <col collapsed="false" customWidth="true" hidden="false" outlineLevel="0" max="13063" min="13063" style="0" width="18.33"/>
    <col collapsed="false" customWidth="true" hidden="false" outlineLevel="0" max="13313" min="13313" style="0" width="5.84"/>
    <col collapsed="false" customWidth="true" hidden="false" outlineLevel="0" max="13314" min="13314" style="0" width="8.27"/>
    <col collapsed="false" customWidth="true" hidden="false" outlineLevel="0" max="13315" min="13315" style="0" width="11.51"/>
    <col collapsed="false" customWidth="true" hidden="false" outlineLevel="0" max="13316" min="13316" style="0" width="66.97"/>
    <col collapsed="false" customWidth="true" hidden="false" outlineLevel="0" max="13317" min="13317" style="0" width="18"/>
    <col collapsed="false" customWidth="true" hidden="false" outlineLevel="0" max="13318" min="13318" style="0" width="13.46"/>
    <col collapsed="false" customWidth="true" hidden="false" outlineLevel="0" max="13319" min="13319" style="0" width="18.33"/>
    <col collapsed="false" customWidth="true" hidden="false" outlineLevel="0" max="13569" min="13569" style="0" width="5.84"/>
    <col collapsed="false" customWidth="true" hidden="false" outlineLevel="0" max="13570" min="13570" style="0" width="8.27"/>
    <col collapsed="false" customWidth="true" hidden="false" outlineLevel="0" max="13571" min="13571" style="0" width="11.51"/>
    <col collapsed="false" customWidth="true" hidden="false" outlineLevel="0" max="13572" min="13572" style="0" width="66.97"/>
    <col collapsed="false" customWidth="true" hidden="false" outlineLevel="0" max="13573" min="13573" style="0" width="18"/>
    <col collapsed="false" customWidth="true" hidden="false" outlineLevel="0" max="13574" min="13574" style="0" width="13.46"/>
    <col collapsed="false" customWidth="true" hidden="false" outlineLevel="0" max="13575" min="13575" style="0" width="18.33"/>
    <col collapsed="false" customWidth="true" hidden="false" outlineLevel="0" max="13825" min="13825" style="0" width="5.84"/>
    <col collapsed="false" customWidth="true" hidden="false" outlineLevel="0" max="13826" min="13826" style="0" width="8.27"/>
    <col collapsed="false" customWidth="true" hidden="false" outlineLevel="0" max="13827" min="13827" style="0" width="11.51"/>
    <col collapsed="false" customWidth="true" hidden="false" outlineLevel="0" max="13828" min="13828" style="0" width="66.97"/>
    <col collapsed="false" customWidth="true" hidden="false" outlineLevel="0" max="13829" min="13829" style="0" width="18"/>
    <col collapsed="false" customWidth="true" hidden="false" outlineLevel="0" max="13830" min="13830" style="0" width="13.46"/>
    <col collapsed="false" customWidth="true" hidden="false" outlineLevel="0" max="13831" min="13831" style="0" width="18.33"/>
    <col collapsed="false" customWidth="true" hidden="false" outlineLevel="0" max="14081" min="14081" style="0" width="5.84"/>
    <col collapsed="false" customWidth="true" hidden="false" outlineLevel="0" max="14082" min="14082" style="0" width="8.27"/>
    <col collapsed="false" customWidth="true" hidden="false" outlineLevel="0" max="14083" min="14083" style="0" width="11.51"/>
    <col collapsed="false" customWidth="true" hidden="false" outlineLevel="0" max="14084" min="14084" style="0" width="66.97"/>
    <col collapsed="false" customWidth="true" hidden="false" outlineLevel="0" max="14085" min="14085" style="0" width="18"/>
    <col collapsed="false" customWidth="true" hidden="false" outlineLevel="0" max="14086" min="14086" style="0" width="13.46"/>
    <col collapsed="false" customWidth="true" hidden="false" outlineLevel="0" max="14087" min="14087" style="0" width="18.33"/>
    <col collapsed="false" customWidth="true" hidden="false" outlineLevel="0" max="14337" min="14337" style="0" width="5.84"/>
    <col collapsed="false" customWidth="true" hidden="false" outlineLevel="0" max="14338" min="14338" style="0" width="8.27"/>
    <col collapsed="false" customWidth="true" hidden="false" outlineLevel="0" max="14339" min="14339" style="0" width="11.51"/>
    <col collapsed="false" customWidth="true" hidden="false" outlineLevel="0" max="14340" min="14340" style="0" width="66.97"/>
    <col collapsed="false" customWidth="true" hidden="false" outlineLevel="0" max="14341" min="14341" style="0" width="18"/>
    <col collapsed="false" customWidth="true" hidden="false" outlineLevel="0" max="14342" min="14342" style="0" width="13.46"/>
    <col collapsed="false" customWidth="true" hidden="false" outlineLevel="0" max="14343" min="14343" style="0" width="18.33"/>
    <col collapsed="false" customWidth="true" hidden="false" outlineLevel="0" max="14593" min="14593" style="0" width="5.84"/>
    <col collapsed="false" customWidth="true" hidden="false" outlineLevel="0" max="14594" min="14594" style="0" width="8.27"/>
    <col collapsed="false" customWidth="true" hidden="false" outlineLevel="0" max="14595" min="14595" style="0" width="11.51"/>
    <col collapsed="false" customWidth="true" hidden="false" outlineLevel="0" max="14596" min="14596" style="0" width="66.97"/>
    <col collapsed="false" customWidth="true" hidden="false" outlineLevel="0" max="14597" min="14597" style="0" width="18"/>
    <col collapsed="false" customWidth="true" hidden="false" outlineLevel="0" max="14598" min="14598" style="0" width="13.46"/>
    <col collapsed="false" customWidth="true" hidden="false" outlineLevel="0" max="14599" min="14599" style="0" width="18.33"/>
    <col collapsed="false" customWidth="true" hidden="false" outlineLevel="0" max="14849" min="14849" style="0" width="5.84"/>
    <col collapsed="false" customWidth="true" hidden="false" outlineLevel="0" max="14850" min="14850" style="0" width="8.27"/>
    <col collapsed="false" customWidth="true" hidden="false" outlineLevel="0" max="14851" min="14851" style="0" width="11.51"/>
    <col collapsed="false" customWidth="true" hidden="false" outlineLevel="0" max="14852" min="14852" style="0" width="66.97"/>
    <col collapsed="false" customWidth="true" hidden="false" outlineLevel="0" max="14853" min="14853" style="0" width="18"/>
    <col collapsed="false" customWidth="true" hidden="false" outlineLevel="0" max="14854" min="14854" style="0" width="13.46"/>
    <col collapsed="false" customWidth="true" hidden="false" outlineLevel="0" max="14855" min="14855" style="0" width="18.33"/>
    <col collapsed="false" customWidth="true" hidden="false" outlineLevel="0" max="15105" min="15105" style="0" width="5.84"/>
    <col collapsed="false" customWidth="true" hidden="false" outlineLevel="0" max="15106" min="15106" style="0" width="8.27"/>
    <col collapsed="false" customWidth="true" hidden="false" outlineLevel="0" max="15107" min="15107" style="0" width="11.51"/>
    <col collapsed="false" customWidth="true" hidden="false" outlineLevel="0" max="15108" min="15108" style="0" width="66.97"/>
    <col collapsed="false" customWidth="true" hidden="false" outlineLevel="0" max="15109" min="15109" style="0" width="18"/>
    <col collapsed="false" customWidth="true" hidden="false" outlineLevel="0" max="15110" min="15110" style="0" width="13.46"/>
    <col collapsed="false" customWidth="true" hidden="false" outlineLevel="0" max="15111" min="15111" style="0" width="18.33"/>
    <col collapsed="false" customWidth="true" hidden="false" outlineLevel="0" max="15361" min="15361" style="0" width="5.84"/>
    <col collapsed="false" customWidth="true" hidden="false" outlineLevel="0" max="15362" min="15362" style="0" width="8.27"/>
    <col collapsed="false" customWidth="true" hidden="false" outlineLevel="0" max="15363" min="15363" style="0" width="11.51"/>
    <col collapsed="false" customWidth="true" hidden="false" outlineLevel="0" max="15364" min="15364" style="0" width="66.97"/>
    <col collapsed="false" customWidth="true" hidden="false" outlineLevel="0" max="15365" min="15365" style="0" width="18"/>
    <col collapsed="false" customWidth="true" hidden="false" outlineLevel="0" max="15366" min="15366" style="0" width="13.46"/>
    <col collapsed="false" customWidth="true" hidden="false" outlineLevel="0" max="15367" min="15367" style="0" width="18.33"/>
    <col collapsed="false" customWidth="true" hidden="false" outlineLevel="0" max="15617" min="15617" style="0" width="5.84"/>
    <col collapsed="false" customWidth="true" hidden="false" outlineLevel="0" max="15618" min="15618" style="0" width="8.27"/>
    <col collapsed="false" customWidth="true" hidden="false" outlineLevel="0" max="15619" min="15619" style="0" width="11.51"/>
    <col collapsed="false" customWidth="true" hidden="false" outlineLevel="0" max="15620" min="15620" style="0" width="66.97"/>
    <col collapsed="false" customWidth="true" hidden="false" outlineLevel="0" max="15621" min="15621" style="0" width="18"/>
    <col collapsed="false" customWidth="true" hidden="false" outlineLevel="0" max="15622" min="15622" style="0" width="13.46"/>
    <col collapsed="false" customWidth="true" hidden="false" outlineLevel="0" max="15623" min="15623" style="0" width="18.33"/>
    <col collapsed="false" customWidth="true" hidden="false" outlineLevel="0" max="15873" min="15873" style="0" width="5.84"/>
    <col collapsed="false" customWidth="true" hidden="false" outlineLevel="0" max="15874" min="15874" style="0" width="8.27"/>
    <col collapsed="false" customWidth="true" hidden="false" outlineLevel="0" max="15875" min="15875" style="0" width="11.51"/>
    <col collapsed="false" customWidth="true" hidden="false" outlineLevel="0" max="15876" min="15876" style="0" width="66.97"/>
    <col collapsed="false" customWidth="true" hidden="false" outlineLevel="0" max="15877" min="15877" style="0" width="18"/>
    <col collapsed="false" customWidth="true" hidden="false" outlineLevel="0" max="15878" min="15878" style="0" width="13.46"/>
    <col collapsed="false" customWidth="true" hidden="false" outlineLevel="0" max="15879" min="15879" style="0" width="18.33"/>
    <col collapsed="false" customWidth="true" hidden="false" outlineLevel="0" max="16129" min="16129" style="0" width="5.84"/>
    <col collapsed="false" customWidth="true" hidden="false" outlineLevel="0" max="16130" min="16130" style="0" width="8.27"/>
    <col collapsed="false" customWidth="true" hidden="false" outlineLevel="0" max="16131" min="16131" style="0" width="11.51"/>
    <col collapsed="false" customWidth="true" hidden="false" outlineLevel="0" max="16132" min="16132" style="0" width="66.97"/>
    <col collapsed="false" customWidth="true" hidden="false" outlineLevel="0" max="16133" min="16133" style="0" width="18"/>
    <col collapsed="false" customWidth="true" hidden="false" outlineLevel="0" max="16134" min="16134" style="0" width="13.46"/>
    <col collapsed="false" customWidth="true" hidden="false" outlineLevel="0" max="16135" min="16135" style="0" width="18.33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</row>
    <row r="4" customFormat="false" ht="15" hidden="false" customHeight="false" outlineLevel="0" collapsed="false">
      <c r="A4" s="5"/>
      <c r="B4" s="5"/>
      <c r="C4" s="5"/>
      <c r="D4" s="6"/>
      <c r="E4" s="6"/>
    </row>
    <row r="5" customFormat="false" ht="24.45" hidden="false" customHeight="false" outlineLevel="0" collapsed="false">
      <c r="A5" s="7" t="s">
        <v>3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8" t="s">
        <v>4</v>
      </c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9" t="s">
        <v>5</v>
      </c>
      <c r="B7" s="9"/>
      <c r="C7" s="9"/>
      <c r="D7" s="9"/>
      <c r="E7" s="9"/>
      <c r="F7" s="9"/>
      <c r="G7" s="9"/>
    </row>
    <row r="8" customFormat="false" ht="21.75" hidden="false" customHeight="true" outlineLevel="0" collapsed="false">
      <c r="A8" s="10" t="s">
        <v>6</v>
      </c>
      <c r="B8" s="10"/>
      <c r="C8" s="10"/>
      <c r="D8" s="10"/>
      <c r="E8" s="10"/>
      <c r="F8" s="10"/>
      <c r="G8" s="11"/>
    </row>
    <row r="9" customFormat="false" ht="36.75" hidden="false" customHeight="true" outlineLevel="0" collapsed="false">
      <c r="A9" s="12" t="s">
        <v>7</v>
      </c>
      <c r="B9" s="12" t="s">
        <v>8</v>
      </c>
      <c r="C9" s="12" t="s">
        <v>9</v>
      </c>
      <c r="D9" s="12" t="s">
        <v>10</v>
      </c>
      <c r="E9" s="12" t="s">
        <v>11</v>
      </c>
      <c r="F9" s="13" t="s">
        <v>12</v>
      </c>
      <c r="G9" s="13" t="s">
        <v>13</v>
      </c>
      <c r="H9" s="14"/>
    </row>
    <row r="10" customFormat="false" ht="16.4" hidden="false" customHeight="false" outlineLevel="0" collapsed="false">
      <c r="A10" s="15" t="n">
        <v>1</v>
      </c>
      <c r="B10" s="15" t="n">
        <v>520</v>
      </c>
      <c r="C10" s="15"/>
      <c r="D10" s="16" t="s">
        <v>14</v>
      </c>
      <c r="E10" s="15" t="s">
        <v>15</v>
      </c>
      <c r="F10" s="17" t="n">
        <v>41000</v>
      </c>
      <c r="G10" s="18"/>
      <c r="H10" s="19" t="str">
        <f aca="false">TRIM(D10)</f>
        <v>Baking soda powder 454g/ bot baking soda 454g</v>
      </c>
    </row>
    <row r="11" customFormat="false" ht="16.4" hidden="false" customHeight="false" outlineLevel="0" collapsed="false">
      <c r="A11" s="20" t="n">
        <f aca="false">1+A10</f>
        <v>2</v>
      </c>
      <c r="B11" s="15" t="n">
        <v>494</v>
      </c>
      <c r="C11" s="15" t="s">
        <v>16</v>
      </c>
      <c r="D11" s="16" t="s">
        <v>17</v>
      </c>
      <c r="E11" s="15" t="s">
        <v>18</v>
      </c>
      <c r="F11" s="17" t="n">
        <v>185000</v>
      </c>
      <c r="G11" s="18"/>
      <c r="H11" s="19" t="str">
        <f aca="false">TRIM(D11)</f>
        <v>Beef-Dry beef /bag/ Bo Kho</v>
      </c>
    </row>
    <row r="12" customFormat="false" ht="16.4" hidden="false" customHeight="false" outlineLevel="0" collapsed="false">
      <c r="A12" s="20" t="n">
        <f aca="false">1+A11</f>
        <v>3</v>
      </c>
      <c r="B12" s="15" t="n">
        <v>3418</v>
      </c>
      <c r="C12" s="15"/>
      <c r="D12" s="16" t="s">
        <v>19</v>
      </c>
      <c r="E12" s="15" t="s">
        <v>20</v>
      </c>
      <c r="F12" s="17" t="n">
        <v>19500</v>
      </c>
      <c r="G12" s="18"/>
      <c r="H12" s="19" t="str">
        <f aca="false">TRIM(D12)</f>
        <v>Black Glass Jelly 50g/suong sao den 50g</v>
      </c>
    </row>
    <row r="13" customFormat="false" ht="16.4" hidden="false" customHeight="false" outlineLevel="0" collapsed="false">
      <c r="A13" s="20" t="n">
        <f aca="false">1+A12</f>
        <v>4</v>
      </c>
      <c r="B13" s="15" t="n">
        <v>484</v>
      </c>
      <c r="C13" s="15"/>
      <c r="D13" s="16" t="s">
        <v>21</v>
      </c>
      <c r="E13" s="15" t="s">
        <v>18</v>
      </c>
      <c r="F13" s="17" t="n">
        <v>95000</v>
      </c>
      <c r="G13" s="18"/>
      <c r="H13" s="19" t="str">
        <f aca="false">TRIM(D13)</f>
        <v>Chinese Jujube apple /Tao do kho</v>
      </c>
    </row>
    <row r="14" customFormat="false" ht="16.4" hidden="false" customHeight="false" outlineLevel="0" collapsed="false">
      <c r="A14" s="20" t="n">
        <f aca="false">1+A13</f>
        <v>5</v>
      </c>
      <c r="B14" s="15" t="n">
        <v>487</v>
      </c>
      <c r="C14" s="15"/>
      <c r="D14" s="16" t="s">
        <v>22</v>
      </c>
      <c r="E14" s="15" t="s">
        <v>23</v>
      </c>
      <c r="F14" s="17" t="n">
        <v>178000</v>
      </c>
      <c r="G14" s="18"/>
      <c r="H14" s="19" t="str">
        <f aca="false">TRIM(D14)</f>
        <v>Cream Anchor - Extra Yield Cook 12X1L/ Hộp Kem nau Anchor 1</v>
      </c>
    </row>
    <row r="15" customFormat="false" ht="16.4" hidden="false" customHeight="false" outlineLevel="0" collapsed="false">
      <c r="A15" s="20" t="n">
        <f aca="false">1+A14</f>
        <v>6</v>
      </c>
      <c r="B15" s="15" t="n">
        <v>493</v>
      </c>
      <c r="C15" s="15"/>
      <c r="D15" s="16" t="s">
        <v>24</v>
      </c>
      <c r="E15" s="15" t="s">
        <v>18</v>
      </c>
      <c r="F15" s="17" t="n">
        <v>132000</v>
      </c>
      <c r="G15" s="18"/>
      <c r="H15" s="19" t="str">
        <f aca="false">TRIM(D15)</f>
        <v>Cream pump bag/ Tui bom kem</v>
      </c>
    </row>
    <row r="16" customFormat="false" ht="16.4" hidden="false" customHeight="false" outlineLevel="0" collapsed="false">
      <c r="A16" s="20" t="n">
        <f aca="false">1+A15</f>
        <v>7</v>
      </c>
      <c r="B16" s="15" t="n">
        <v>505</v>
      </c>
      <c r="C16" s="15"/>
      <c r="D16" s="16" t="s">
        <v>25</v>
      </c>
      <c r="E16" s="15" t="s">
        <v>18</v>
      </c>
      <c r="F16" s="17" t="n">
        <v>310000</v>
      </c>
      <c r="G16" s="18"/>
      <c r="H16" s="19" t="str">
        <f aca="false">TRIM(D16)</f>
        <v>Dried shitake mushroom dried/Nam Huong</v>
      </c>
    </row>
    <row r="17" customFormat="false" ht="16.4" hidden="false" customHeight="false" outlineLevel="0" collapsed="false">
      <c r="A17" s="20" t="n">
        <f aca="false">1+A16</f>
        <v>8</v>
      </c>
      <c r="B17" s="15" t="n">
        <v>2381</v>
      </c>
      <c r="C17" s="15"/>
      <c r="D17" s="16" t="s">
        <v>26</v>
      </c>
      <c r="E17" s="15" t="s">
        <v>27</v>
      </c>
      <c r="F17" s="17" t="n">
        <v>8000</v>
      </c>
      <c r="G17" s="18"/>
      <c r="H17" s="19" t="str">
        <f aca="false">TRIM(D17)</f>
        <v>Dry Good Cracker Prawn / Phong Tom 100gr</v>
      </c>
    </row>
    <row r="18" customFormat="false" ht="16.4" hidden="false" customHeight="false" outlineLevel="0" collapsed="false">
      <c r="A18" s="20" t="n">
        <f aca="false">1+A17</f>
        <v>9</v>
      </c>
      <c r="B18" s="15" t="n">
        <v>501</v>
      </c>
      <c r="C18" s="15" t="s">
        <v>28</v>
      </c>
      <c r="D18" s="16" t="s">
        <v>29</v>
      </c>
      <c r="E18" s="15" t="s">
        <v>18</v>
      </c>
      <c r="F18" s="17" t="n">
        <v>125000</v>
      </c>
      <c r="G18" s="18"/>
      <c r="H18" s="19" t="str">
        <f aca="false">TRIM(D18)</f>
        <v>Fish Flies/ Ca ruoi</v>
      </c>
    </row>
    <row r="19" customFormat="false" ht="16.4" hidden="false" customHeight="false" outlineLevel="0" collapsed="false">
      <c r="A19" s="20" t="n">
        <f aca="false">1+A18</f>
        <v>10</v>
      </c>
      <c r="B19" s="15" t="n">
        <v>491</v>
      </c>
      <c r="C19" s="15"/>
      <c r="D19" s="16" t="s">
        <v>30</v>
      </c>
      <c r="E19" s="15" t="s">
        <v>31</v>
      </c>
      <c r="F19" s="17" t="n">
        <v>44000</v>
      </c>
      <c r="G19" s="18"/>
      <c r="H19" s="19" t="str">
        <f aca="false">TRIM(D19)</f>
        <v>Fresh milk 1 liter anchor without sugar/ Sua tuoi 1l anchor</v>
      </c>
    </row>
    <row r="20" customFormat="false" ht="16.4" hidden="false" customHeight="false" outlineLevel="0" collapsed="false">
      <c r="A20" s="20" t="n">
        <f aca="false">1+A19</f>
        <v>11</v>
      </c>
      <c r="B20" s="15" t="n">
        <v>498</v>
      </c>
      <c r="C20" s="15" t="s">
        <v>32</v>
      </c>
      <c r="D20" s="16" t="s">
        <v>33</v>
      </c>
      <c r="E20" s="15" t="s">
        <v>18</v>
      </c>
      <c r="F20" s="17"/>
      <c r="G20" s="18"/>
      <c r="H20" s="19" t="str">
        <f aca="false">TRIM(D20)</f>
        <v>Fresh Shrimp-Shrimp Mantis Lv 15-17 Pcs/Kg/ BE BE</v>
      </c>
    </row>
    <row r="21" customFormat="false" ht="16.4" hidden="false" customHeight="false" outlineLevel="0" collapsed="false">
      <c r="A21" s="20" t="n">
        <f aca="false">1+A20</f>
        <v>12</v>
      </c>
      <c r="B21" s="15" t="n">
        <v>495</v>
      </c>
      <c r="C21" s="15" t="s">
        <v>34</v>
      </c>
      <c r="D21" s="16" t="s">
        <v>35</v>
      </c>
      <c r="E21" s="15" t="s">
        <v>18</v>
      </c>
      <c r="F21" s="17" t="n">
        <v>68000</v>
      </c>
      <c r="G21" s="18"/>
      <c r="H21" s="19" t="str">
        <f aca="false">TRIM(D21)</f>
        <v>Freshwater plaice/ Ca chim nuoc ngot nguyen con</v>
      </c>
    </row>
    <row r="22" customFormat="false" ht="16.4" hidden="false" customHeight="false" outlineLevel="0" collapsed="false">
      <c r="A22" s="20" t="n">
        <f aca="false">1+A21</f>
        <v>13</v>
      </c>
      <c r="B22" s="15" t="n">
        <v>486</v>
      </c>
      <c r="C22" s="15" t="s">
        <v>36</v>
      </c>
      <c r="D22" s="16" t="s">
        <v>37</v>
      </c>
      <c r="E22" s="15" t="s">
        <v>18</v>
      </c>
      <c r="F22" s="17" t="n">
        <v>75000</v>
      </c>
      <c r="G22" s="18"/>
      <c r="H22" s="19" t="str">
        <f aca="false">TRIM(D22)</f>
        <v>Fried fish grilled chopped fish/ Cha ca</v>
      </c>
    </row>
    <row r="23" customFormat="false" ht="16.4" hidden="false" customHeight="false" outlineLevel="0" collapsed="false">
      <c r="A23" s="20" t="n">
        <f aca="false">1+A22</f>
        <v>14</v>
      </c>
      <c r="B23" s="15" t="n">
        <v>458</v>
      </c>
      <c r="C23" s="15" t="s">
        <v>38</v>
      </c>
      <c r="D23" s="16" t="s">
        <v>39</v>
      </c>
      <c r="E23" s="15" t="s">
        <v>18</v>
      </c>
      <c r="F23" s="17" t="n">
        <v>30000</v>
      </c>
      <c r="G23" s="18"/>
      <c r="H23" s="19" t="str">
        <f aca="false">TRIM(D23)</f>
        <v>Fruit-Fru Kumquat/ trai quat</v>
      </c>
    </row>
    <row r="24" customFormat="false" ht="16.4" hidden="false" customHeight="false" outlineLevel="0" collapsed="false">
      <c r="A24" s="20" t="n">
        <f aca="false">1+A23</f>
        <v>15</v>
      </c>
      <c r="B24" s="15" t="n">
        <v>457</v>
      </c>
      <c r="C24" s="15" t="s">
        <v>40</v>
      </c>
      <c r="D24" s="16" t="s">
        <v>41</v>
      </c>
      <c r="E24" s="15" t="s">
        <v>18</v>
      </c>
      <c r="F24" s="17" t="n">
        <v>13500</v>
      </c>
      <c r="G24" s="18"/>
      <c r="H24" s="19" t="str">
        <f aca="false">TRIM(D24)</f>
        <v>Fruit-Fru Watermelon round/Dua Hau Đo Tron</v>
      </c>
    </row>
    <row r="25" customFormat="false" ht="16.4" hidden="false" customHeight="false" outlineLevel="0" collapsed="false">
      <c r="A25" s="20" t="n">
        <f aca="false">1+A24</f>
        <v>16</v>
      </c>
      <c r="B25" s="15" t="n">
        <v>1957</v>
      </c>
      <c r="C25" s="15"/>
      <c r="D25" s="16" t="s">
        <v>42</v>
      </c>
      <c r="E25" s="15" t="s">
        <v>18</v>
      </c>
      <c r="F25" s="17" t="n">
        <v>245000</v>
      </c>
      <c r="G25" s="18"/>
      <c r="H25" s="19" t="str">
        <f aca="false">TRIM(D25)</f>
        <v>Ground pepper/ tieu xay</v>
      </c>
    </row>
    <row r="26" customFormat="false" ht="16.4" hidden="false" customHeight="false" outlineLevel="0" collapsed="false">
      <c r="A26" s="20" t="n">
        <f aca="false">1+A25</f>
        <v>17</v>
      </c>
      <c r="B26" s="15" t="n">
        <v>496</v>
      </c>
      <c r="C26" s="15" t="s">
        <v>43</v>
      </c>
      <c r="D26" s="16" t="s">
        <v>44</v>
      </c>
      <c r="E26" s="15" t="s">
        <v>18</v>
      </c>
      <c r="F26" s="17" t="n">
        <v>135000</v>
      </c>
      <c r="G26" s="18"/>
      <c r="H26" s="19" t="str">
        <f aca="false">TRIM(D26)</f>
        <v>Local gourami fish/ Ca duc dia phuong</v>
      </c>
    </row>
    <row r="27" customFormat="false" ht="16.4" hidden="false" customHeight="false" outlineLevel="0" collapsed="false">
      <c r="A27" s="20" t="n">
        <f aca="false">1+A26</f>
        <v>18</v>
      </c>
      <c r="B27" s="15" t="n">
        <v>425</v>
      </c>
      <c r="C27" s="15" t="s">
        <v>45</v>
      </c>
      <c r="D27" s="16" t="s">
        <v>46</v>
      </c>
      <c r="E27" s="15" t="s">
        <v>18</v>
      </c>
      <c r="F27" s="17" t="n">
        <v>235000</v>
      </c>
      <c r="G27" s="18"/>
      <c r="H27" s="19" t="str">
        <f aca="false">TRIM(D27)</f>
        <v>Nut Lotus Seed Dried/ Hat Sen Kho</v>
      </c>
    </row>
    <row r="28" customFormat="false" ht="16.4" hidden="false" customHeight="false" outlineLevel="0" collapsed="false">
      <c r="A28" s="20" t="n">
        <f aca="false">1+A27</f>
        <v>19</v>
      </c>
      <c r="B28" s="15" t="n">
        <v>3212</v>
      </c>
      <c r="C28" s="15"/>
      <c r="D28" s="16" t="s">
        <v>47</v>
      </c>
      <c r="E28" s="15" t="s">
        <v>48</v>
      </c>
      <c r="F28" s="17" t="n">
        <v>65000</v>
      </c>
      <c r="G28" s="18"/>
      <c r="H28" s="19" t="str">
        <f aca="false">TRIM(D28)</f>
        <v>Oil Sesame Meizan 250ML/Dau me thom Meizan 250ml</v>
      </c>
    </row>
    <row r="29" customFormat="false" ht="16.4" hidden="false" customHeight="false" outlineLevel="0" collapsed="false">
      <c r="A29" s="20" t="n">
        <f aca="false">1+A28</f>
        <v>20</v>
      </c>
      <c r="B29" s="15" t="n">
        <v>497</v>
      </c>
      <c r="C29" s="15" t="s">
        <v>49</v>
      </c>
      <c r="D29" s="16" t="s">
        <v>50</v>
      </c>
      <c r="E29" s="15" t="s">
        <v>18</v>
      </c>
      <c r="F29" s="17" t="n">
        <v>75000</v>
      </c>
      <c r="G29" s="18"/>
      <c r="H29" s="19" t="str">
        <f aca="false">TRIM(D29)</f>
        <v>Perch/ Ca ro</v>
      </c>
    </row>
    <row r="30" customFormat="false" ht="16.4" hidden="false" customHeight="false" outlineLevel="0" collapsed="false">
      <c r="A30" s="20" t="n">
        <f aca="false">1+A29</f>
        <v>21</v>
      </c>
      <c r="B30" s="15" t="n">
        <v>485</v>
      </c>
      <c r="C30" s="15" t="s">
        <v>51</v>
      </c>
      <c r="D30" s="16" t="s">
        <v>52</v>
      </c>
      <c r="E30" s="15" t="s">
        <v>18</v>
      </c>
      <c r="F30" s="17" t="n">
        <v>352000</v>
      </c>
      <c r="G30" s="18"/>
      <c r="H30" s="19" t="str">
        <f aca="false">TRIM(D30)</f>
        <v>Pork-Bacon/ Ba chi xong khoi</v>
      </c>
    </row>
    <row r="31" customFormat="false" ht="16.4" hidden="false" customHeight="false" outlineLevel="0" collapsed="false">
      <c r="A31" s="20" t="n">
        <f aca="false">1+A30</f>
        <v>22</v>
      </c>
      <c r="B31" s="15" t="n">
        <v>506</v>
      </c>
      <c r="C31" s="15"/>
      <c r="D31" s="16" t="s">
        <v>53</v>
      </c>
      <c r="E31" s="15" t="s">
        <v>54</v>
      </c>
      <c r="F31" s="17" t="n">
        <v>45000</v>
      </c>
      <c r="G31" s="18"/>
      <c r="H31" s="19" t="str">
        <f aca="false">TRIM(D31)</f>
        <v>Powder Crispy Tai Ky VN 1Kg/ Bot Chien Gion VN 1Kg</v>
      </c>
    </row>
    <row r="32" customFormat="false" ht="16.4" hidden="false" customHeight="false" outlineLevel="0" collapsed="false">
      <c r="A32" s="20" t="n">
        <f aca="false">1+A31</f>
        <v>23</v>
      </c>
      <c r="B32" s="15" t="n">
        <v>488</v>
      </c>
      <c r="C32" s="15"/>
      <c r="D32" s="16" t="s">
        <v>55</v>
      </c>
      <c r="E32" s="15" t="s">
        <v>56</v>
      </c>
      <c r="F32" s="17" t="n">
        <v>405000</v>
      </c>
      <c r="G32" s="18"/>
      <c r="H32" s="19" t="str">
        <f aca="false">TRIM(D32)</f>
        <v>Socola chip 2.5kg/ Socola chip 2.5kg</v>
      </c>
    </row>
    <row r="33" customFormat="false" ht="16.4" hidden="false" customHeight="false" outlineLevel="0" collapsed="false">
      <c r="A33" s="20" t="n">
        <f aca="false">1+A32</f>
        <v>24</v>
      </c>
      <c r="B33" s="15" t="n">
        <v>511</v>
      </c>
      <c r="C33" s="15"/>
      <c r="D33" s="16" t="s">
        <v>57</v>
      </c>
      <c r="E33" s="15" t="s">
        <v>18</v>
      </c>
      <c r="F33" s="17" t="n">
        <v>45000</v>
      </c>
      <c r="G33" s="18"/>
      <c r="H33" s="19" t="str">
        <f aca="false">TRIM(D33)</f>
        <v>Sugar Rock/ duong phen</v>
      </c>
    </row>
    <row r="34" customFormat="false" ht="16.4" hidden="false" customHeight="false" outlineLevel="0" collapsed="false">
      <c r="A34" s="20" t="n">
        <f aca="false">1+A33</f>
        <v>25</v>
      </c>
      <c r="B34" s="15" t="n">
        <v>464</v>
      </c>
      <c r="C34" s="15" t="s">
        <v>58</v>
      </c>
      <c r="D34" s="16" t="s">
        <v>59</v>
      </c>
      <c r="E34" s="15" t="s">
        <v>18</v>
      </c>
      <c r="F34" s="17" t="n">
        <v>405000</v>
      </c>
      <c r="G34" s="18"/>
      <c r="H34" s="19" t="str">
        <f aca="false">TRIM(D34)</f>
        <v>Veg Herb Rosemary/ cay huong thao</v>
      </c>
    </row>
    <row r="35" customFormat="false" ht="16.4" hidden="false" customHeight="false" outlineLevel="0" collapsed="false">
      <c r="A35" s="20" t="n">
        <f aca="false">1+A34</f>
        <v>26</v>
      </c>
      <c r="B35" s="15" t="n">
        <v>465</v>
      </c>
      <c r="C35" s="15" t="s">
        <v>60</v>
      </c>
      <c r="D35" s="16" t="s">
        <v>61</v>
      </c>
      <c r="E35" s="15" t="s">
        <v>18</v>
      </c>
      <c r="F35" s="17" t="n">
        <v>500000</v>
      </c>
      <c r="G35" s="18"/>
      <c r="H35" s="19" t="str">
        <f aca="false">TRIM(D35)</f>
        <v>Veg Thyme/ co xa huong</v>
      </c>
    </row>
    <row r="36" customFormat="false" ht="16.4" hidden="false" customHeight="false" outlineLevel="0" collapsed="false">
      <c r="A36" s="20" t="n">
        <f aca="false">1+A35</f>
        <v>27</v>
      </c>
      <c r="B36" s="15" t="n">
        <v>490</v>
      </c>
      <c r="C36" s="15"/>
      <c r="D36" s="16" t="s">
        <v>62</v>
      </c>
      <c r="E36" s="15" t="s">
        <v>63</v>
      </c>
      <c r="F36" s="17" t="n">
        <v>308000</v>
      </c>
      <c r="G36" s="18"/>
      <c r="H36" s="19" t="str">
        <f aca="false">TRIM(D36)</f>
        <v>White socola bars 2kg w 07/ Socola thanh trang 2kg w 07</v>
      </c>
    </row>
    <row r="37" customFormat="false" ht="16.4" hidden="false" customHeight="false" outlineLevel="0" collapsed="false">
      <c r="A37" s="20" t="n">
        <f aca="false">1+A36</f>
        <v>28</v>
      </c>
      <c r="B37" s="15" t="n">
        <v>502</v>
      </c>
      <c r="C37" s="15"/>
      <c r="D37" s="16" t="s">
        <v>64</v>
      </c>
      <c r="E37" s="15" t="s">
        <v>18</v>
      </c>
      <c r="F37" s="17" t="n">
        <v>24000</v>
      </c>
      <c r="G37" s="18"/>
      <c r="H37" s="19" t="str">
        <f aca="false">TRIM(D37)</f>
        <v>Yellow Corn/ ngo vang</v>
      </c>
    </row>
    <row r="38" customFormat="false" ht="16.4" hidden="false" customHeight="false" outlineLevel="0" collapsed="false">
      <c r="A38" s="20" t="n">
        <f aca="false">1+A37</f>
        <v>29</v>
      </c>
      <c r="B38" s="15" t="n">
        <v>525</v>
      </c>
      <c r="C38" s="15"/>
      <c r="D38" s="16" t="s">
        <v>65</v>
      </c>
      <c r="E38" s="15" t="s">
        <v>54</v>
      </c>
      <c r="F38" s="17" t="n">
        <v>41000</v>
      </c>
      <c r="G38" s="18"/>
      <c r="H38" s="19" t="str">
        <f aca="false">TRIM(D38)</f>
        <v>"Phen" bien hoa sugar 1kg/Duong phen bien hoa 1kg</v>
      </c>
    </row>
    <row r="39" customFormat="false" ht="16.4" hidden="false" customHeight="false" outlineLevel="0" collapsed="false">
      <c r="A39" s="20" t="n">
        <f aca="false">1+A38</f>
        <v>30</v>
      </c>
      <c r="B39" s="15" t="n">
        <v>2980</v>
      </c>
      <c r="C39" s="15"/>
      <c r="D39" s="16" t="s">
        <v>66</v>
      </c>
      <c r="E39" s="15" t="s">
        <v>54</v>
      </c>
      <c r="F39" s="17" t="n">
        <v>368000</v>
      </c>
      <c r="G39" s="17"/>
      <c r="H39" s="19" t="str">
        <f aca="false">TRIM(D39)</f>
        <v>Almond Powder 1kg/ Bot hanh nhan 1kg</v>
      </c>
    </row>
    <row r="40" customFormat="false" ht="16.4" hidden="false" customHeight="false" outlineLevel="0" collapsed="false">
      <c r="A40" s="20" t="n">
        <f aca="false">1+A39</f>
        <v>31</v>
      </c>
      <c r="B40" s="15" t="n">
        <v>509</v>
      </c>
      <c r="C40" s="15"/>
      <c r="D40" s="16" t="s">
        <v>67</v>
      </c>
      <c r="E40" s="15" t="s">
        <v>18</v>
      </c>
      <c r="F40" s="17" t="n">
        <v>368000</v>
      </c>
      <c r="G40" s="18"/>
      <c r="H40" s="19" t="str">
        <f aca="false">TRIM(D40)</f>
        <v>Almond Powder/ hanh nhan bot</v>
      </c>
    </row>
    <row r="41" customFormat="false" ht="16.4" hidden="false" customHeight="false" outlineLevel="0" collapsed="false">
      <c r="A41" s="20" t="n">
        <f aca="false">1+A40</f>
        <v>32</v>
      </c>
      <c r="B41" s="15" t="n">
        <v>508</v>
      </c>
      <c r="C41" s="15"/>
      <c r="D41" s="16" t="s">
        <v>68</v>
      </c>
      <c r="E41" s="15" t="s">
        <v>54</v>
      </c>
      <c r="F41" s="17" t="n">
        <v>328000</v>
      </c>
      <c r="G41" s="18"/>
      <c r="H41" s="19" t="str">
        <f aca="false">TRIM(D41)</f>
        <v>Almond Slice VN 1kg/ hanh nhan lat VN</v>
      </c>
    </row>
    <row r="42" customFormat="false" ht="16.4" hidden="false" customHeight="false" outlineLevel="0" collapsed="false">
      <c r="A42" s="20" t="n">
        <f aca="false">1+A41</f>
        <v>33</v>
      </c>
      <c r="B42" s="15" t="n">
        <v>514</v>
      </c>
      <c r="C42" s="15"/>
      <c r="D42" s="16" t="s">
        <v>69</v>
      </c>
      <c r="E42" s="15" t="s">
        <v>70</v>
      </c>
      <c r="F42" s="17" t="n">
        <v>170000</v>
      </c>
      <c r="G42" s="18"/>
      <c r="H42" s="19" t="str">
        <f aca="false">TRIM(D42)</f>
        <v>Anchor milk cream 1l (whipping cream)/ Kem sua anchor 1l</v>
      </c>
    </row>
    <row r="43" customFormat="false" ht="16.4" hidden="false" customHeight="false" outlineLevel="0" collapsed="false">
      <c r="A43" s="20" t="n">
        <f aca="false">1+A42</f>
        <v>34</v>
      </c>
      <c r="B43" s="15" t="n">
        <v>513</v>
      </c>
      <c r="C43" s="15"/>
      <c r="D43" s="16" t="s">
        <v>71</v>
      </c>
      <c r="E43" s="15" t="s">
        <v>72</v>
      </c>
      <c r="F43" s="17" t="n">
        <v>1320000</v>
      </c>
      <c r="G43" s="18"/>
      <c r="H43" s="19" t="str">
        <f aca="false">TRIM(D43)</f>
        <v>Anchor unsalted creamy butter (4x5kg)/ Bo lat anchor khoi</v>
      </c>
    </row>
    <row r="44" customFormat="false" ht="16.4" hidden="false" customHeight="false" outlineLevel="0" collapsed="false">
      <c r="A44" s="20" t="n">
        <f aca="false">1+A43</f>
        <v>35</v>
      </c>
      <c r="B44" s="15" t="n">
        <v>2563</v>
      </c>
      <c r="C44" s="15"/>
      <c r="D44" s="16" t="s">
        <v>73</v>
      </c>
      <c r="E44" s="15" t="s">
        <v>18</v>
      </c>
      <c r="F44" s="17" t="n">
        <v>95000</v>
      </c>
      <c r="G44" s="18"/>
      <c r="H44" s="19" t="str">
        <f aca="false">TRIM(D44)</f>
        <v>Apple / Tao Fuji NK Nam Phi (5-6 pcs/kg)</v>
      </c>
    </row>
    <row r="45" customFormat="false" ht="16.4" hidden="false" customHeight="false" outlineLevel="0" collapsed="false">
      <c r="A45" s="20" t="n">
        <f aca="false">1+A44</f>
        <v>36</v>
      </c>
      <c r="B45" s="15" t="n">
        <v>2445</v>
      </c>
      <c r="C45" s="15"/>
      <c r="D45" s="16" t="s">
        <v>74</v>
      </c>
      <c r="E45" s="15" t="s">
        <v>18</v>
      </c>
      <c r="F45" s="17" t="n">
        <v>85000</v>
      </c>
      <c r="G45" s="18"/>
      <c r="H45" s="19" t="str">
        <f aca="false">TRIM(D45)</f>
        <v>Australian Orange/ Cam vang Uc 5trai/1kg</v>
      </c>
    </row>
    <row r="46" customFormat="false" ht="16.4" hidden="false" customHeight="false" outlineLevel="0" collapsed="false">
      <c r="A46" s="20" t="n">
        <f aca="false">1+A45</f>
        <v>37</v>
      </c>
      <c r="B46" s="15" t="n">
        <v>478</v>
      </c>
      <c r="C46" s="15"/>
      <c r="D46" s="16" t="s">
        <v>75</v>
      </c>
      <c r="E46" s="15" t="s">
        <v>76</v>
      </c>
      <c r="F46" s="17" t="n">
        <v>71500</v>
      </c>
      <c r="G46" s="18"/>
      <c r="H46" s="19" t="str">
        <f aca="false">TRIM(D46)</f>
        <v>Baking powder 1kg/ Bot noi lam banh baking powder 1kg</v>
      </c>
    </row>
    <row r="47" customFormat="false" ht="16.4" hidden="false" customHeight="false" outlineLevel="0" collapsed="false">
      <c r="A47" s="20" t="n">
        <f aca="false">1+A46</f>
        <v>38</v>
      </c>
      <c r="B47" s="15" t="n">
        <v>332</v>
      </c>
      <c r="C47" s="15" t="s">
        <v>77</v>
      </c>
      <c r="D47" s="16" t="s">
        <v>78</v>
      </c>
      <c r="E47" s="15" t="s">
        <v>18</v>
      </c>
      <c r="F47" s="17" t="n">
        <v>74000</v>
      </c>
      <c r="G47" s="18"/>
      <c r="H47" s="19" t="str">
        <f aca="false">TRIM(D47)</f>
        <v>Bean Black / Hat Dau den</v>
      </c>
    </row>
    <row r="48" customFormat="false" ht="16.4" hidden="false" customHeight="false" outlineLevel="0" collapsed="false">
      <c r="A48" s="20" t="n">
        <f aca="false">1+A47</f>
        <v>39</v>
      </c>
      <c r="B48" s="15" t="n">
        <v>334</v>
      </c>
      <c r="C48" s="15" t="s">
        <v>79</v>
      </c>
      <c r="D48" s="16" t="s">
        <v>80</v>
      </c>
      <c r="E48" s="15" t="s">
        <v>18</v>
      </c>
      <c r="F48" s="17" t="n">
        <v>49000</v>
      </c>
      <c r="G48" s="17"/>
      <c r="H48" s="19" t="str">
        <f aca="false">TRIM(D48)</f>
        <v>Beans Green W/O Cover/Dau Xanh Boc Vo</v>
      </c>
    </row>
    <row r="49" customFormat="false" ht="16.4" hidden="false" customHeight="false" outlineLevel="0" collapsed="false">
      <c r="A49" s="20" t="n">
        <f aca="false">1+A48</f>
        <v>40</v>
      </c>
      <c r="B49" s="15" t="n">
        <v>155</v>
      </c>
      <c r="C49" s="15" t="s">
        <v>81</v>
      </c>
      <c r="D49" s="16" t="s">
        <v>82</v>
      </c>
      <c r="E49" s="15" t="s">
        <v>18</v>
      </c>
      <c r="F49" s="17" t="n">
        <v>53000</v>
      </c>
      <c r="G49" s="17"/>
      <c r="H49" s="19" t="str">
        <f aca="false">TRIM(D49)</f>
        <v>Beef Bone Tube/ Xuong Ong Bo</v>
      </c>
    </row>
    <row r="50" customFormat="false" ht="16.4" hidden="false" customHeight="false" outlineLevel="0" collapsed="false">
      <c r="A50" s="20" t="n">
        <f aca="false">1+A49</f>
        <v>41</v>
      </c>
      <c r="B50" s="15" t="n">
        <v>183</v>
      </c>
      <c r="C50" s="15" t="s">
        <v>83</v>
      </c>
      <c r="D50" s="16" t="s">
        <v>84</v>
      </c>
      <c r="E50" s="15" t="s">
        <v>18</v>
      </c>
      <c r="F50" s="17" t="n">
        <v>250000</v>
      </c>
      <c r="G50" s="17"/>
      <c r="H50" s="19" t="str">
        <f aca="false">TRIM(D50)</f>
        <v>Beef Brisket Point End / Nac gau bo DL</v>
      </c>
    </row>
    <row r="51" customFormat="false" ht="16.4" hidden="false" customHeight="false" outlineLevel="0" collapsed="false">
      <c r="A51" s="20" t="n">
        <f aca="false">1+A50</f>
        <v>42</v>
      </c>
      <c r="B51" s="15" t="n">
        <v>158</v>
      </c>
      <c r="C51" s="15" t="s">
        <v>85</v>
      </c>
      <c r="D51" s="16" t="s">
        <v>86</v>
      </c>
      <c r="E51" s="15" t="s">
        <v>18</v>
      </c>
      <c r="F51" s="17" t="n">
        <v>240000</v>
      </c>
      <c r="G51" s="17"/>
      <c r="H51" s="19" t="str">
        <f aca="false">TRIM(D51)</f>
        <v>Beef Brisket/Gau Bo</v>
      </c>
    </row>
    <row r="52" customFormat="false" ht="16.4" hidden="false" customHeight="false" outlineLevel="0" collapsed="false">
      <c r="A52" s="20" t="n">
        <f aca="false">1+A51</f>
        <v>43</v>
      </c>
      <c r="B52" s="15" t="n">
        <v>1767</v>
      </c>
      <c r="C52" s="15"/>
      <c r="D52" s="16" t="s">
        <v>87</v>
      </c>
      <c r="E52" s="15" t="s">
        <v>18</v>
      </c>
      <c r="F52" s="17" t="n">
        <v>160000</v>
      </c>
      <c r="G52" s="18"/>
      <c r="H52" s="19" t="str">
        <f aca="false">TRIM(D52)</f>
        <v>Beef Dried/Kho bo soi loai 2</v>
      </c>
    </row>
    <row r="53" customFormat="false" ht="16.4" hidden="false" customHeight="false" outlineLevel="0" collapsed="false">
      <c r="A53" s="20" t="n">
        <f aca="false">1+A52</f>
        <v>44</v>
      </c>
      <c r="B53" s="15" t="n">
        <v>156</v>
      </c>
      <c r="C53" s="15" t="s">
        <v>88</v>
      </c>
      <c r="D53" s="16" t="s">
        <v>89</v>
      </c>
      <c r="E53" s="15" t="s">
        <v>18</v>
      </c>
      <c r="F53" s="17" t="n">
        <v>180000</v>
      </c>
      <c r="G53" s="18"/>
      <c r="H53" s="19" t="str">
        <f aca="false">TRIM(D53)</f>
        <v>Beef Flank Local/Nam Bo</v>
      </c>
    </row>
    <row r="54" customFormat="false" ht="16.4" hidden="false" customHeight="false" outlineLevel="0" collapsed="false">
      <c r="A54" s="20" t="n">
        <f aca="false">1+A53</f>
        <v>45</v>
      </c>
      <c r="B54" s="15" t="n">
        <v>160</v>
      </c>
      <c r="C54" s="15" t="s">
        <v>90</v>
      </c>
      <c r="D54" s="16" t="s">
        <v>91</v>
      </c>
      <c r="E54" s="15" t="s">
        <v>18</v>
      </c>
      <c r="F54" s="17" t="n">
        <v>260000</v>
      </c>
      <c r="G54" s="18"/>
      <c r="H54" s="19" t="str">
        <f aca="false">TRIM(D54)</f>
        <v>Beef Ground/ Thit Bo xay</v>
      </c>
    </row>
    <row r="55" customFormat="false" ht="16.4" hidden="false" customHeight="false" outlineLevel="0" collapsed="false">
      <c r="A55" s="20" t="n">
        <f aca="false">1+A54</f>
        <v>46</v>
      </c>
      <c r="B55" s="15" t="n">
        <v>162</v>
      </c>
      <c r="C55" s="15" t="s">
        <v>92</v>
      </c>
      <c r="D55" s="16" t="s">
        <v>93</v>
      </c>
      <c r="E55" s="15" t="s">
        <v>18</v>
      </c>
      <c r="F55" s="17" t="n">
        <v>238000</v>
      </c>
      <c r="G55" s="18"/>
      <c r="H55" s="19" t="str">
        <f aca="false">TRIM(D55)</f>
        <v>Beef Local Rump / Thit mong bo qua tron</v>
      </c>
    </row>
    <row r="56" customFormat="false" ht="16.4" hidden="false" customHeight="false" outlineLevel="0" collapsed="false">
      <c r="A56" s="20" t="n">
        <f aca="false">1+A55</f>
        <v>47</v>
      </c>
      <c r="B56" s="15" t="n">
        <v>182</v>
      </c>
      <c r="C56" s="15" t="s">
        <v>94</v>
      </c>
      <c r="D56" s="16" t="s">
        <v>95</v>
      </c>
      <c r="E56" s="15" t="s">
        <v>18</v>
      </c>
      <c r="F56" s="17" t="n">
        <v>180000</v>
      </c>
      <c r="G56" s="18"/>
      <c r="H56" s="19" t="str">
        <f aca="false">TRIM(D56)</f>
        <v>Beef Minced / Nac bo xay DL</v>
      </c>
    </row>
    <row r="57" customFormat="false" ht="16.4" hidden="false" customHeight="false" outlineLevel="0" collapsed="false">
      <c r="A57" s="20" t="n">
        <f aca="false">1+A56</f>
        <v>48</v>
      </c>
      <c r="B57" s="15" t="n">
        <v>163</v>
      </c>
      <c r="C57" s="15" t="s">
        <v>96</v>
      </c>
      <c r="D57" s="16" t="s">
        <v>97</v>
      </c>
      <c r="E57" s="15" t="s">
        <v>18</v>
      </c>
      <c r="F57" s="17" t="n">
        <v>370000</v>
      </c>
      <c r="G57" s="18"/>
      <c r="H57" s="19" t="str">
        <f aca="false">TRIM(D57)</f>
        <v>Beef Rib US Frozen / Suon bo my DL</v>
      </c>
    </row>
    <row r="58" customFormat="false" ht="16.4" hidden="false" customHeight="false" outlineLevel="0" collapsed="false">
      <c r="A58" s="20" t="n">
        <f aca="false">1+A57</f>
        <v>49</v>
      </c>
      <c r="B58" s="15" t="n">
        <v>165</v>
      </c>
      <c r="C58" s="15" t="s">
        <v>98</v>
      </c>
      <c r="D58" s="16" t="s">
        <v>99</v>
      </c>
      <c r="E58" s="15" t="s">
        <v>18</v>
      </c>
      <c r="F58" s="17" t="n">
        <v>315000</v>
      </c>
      <c r="G58" s="18"/>
      <c r="H58" s="19" t="str">
        <f aca="false">TRIM(D58)</f>
        <v>Beef Rolls/Cha Bo</v>
      </c>
    </row>
    <row r="59" customFormat="false" ht="16.4" hidden="false" customHeight="false" outlineLevel="0" collapsed="false">
      <c r="A59" s="20" t="n">
        <f aca="false">1+A58</f>
        <v>50</v>
      </c>
      <c r="B59" s="15" t="n">
        <v>3790</v>
      </c>
      <c r="C59" s="15"/>
      <c r="D59" s="16" t="s">
        <v>100</v>
      </c>
      <c r="E59" s="15" t="s">
        <v>18</v>
      </c>
      <c r="F59" s="17" t="n">
        <v>245000</v>
      </c>
      <c r="G59" s="18"/>
      <c r="H59" s="19" t="str">
        <f aca="false">TRIM(D59)</f>
        <v>Beef Short Plate/ Ba Chi Bo My DL</v>
      </c>
    </row>
    <row r="60" customFormat="false" ht="16.4" hidden="false" customHeight="false" outlineLevel="0" collapsed="false">
      <c r="A60" s="20" t="n">
        <f aca="false">1+A59</f>
        <v>51</v>
      </c>
      <c r="B60" s="15" t="n">
        <v>2754</v>
      </c>
      <c r="C60" s="15"/>
      <c r="D60" s="16" t="s">
        <v>101</v>
      </c>
      <c r="E60" s="15" t="s">
        <v>18</v>
      </c>
      <c r="F60" s="17" t="n">
        <v>340000</v>
      </c>
      <c r="G60" s="17"/>
      <c r="H60" s="19" t="str">
        <f aca="false">TRIM(D60)</f>
        <v>Beef Short Rib Bone In/ Suon non Bo Co Xuong</v>
      </c>
    </row>
    <row r="61" customFormat="false" ht="16.4" hidden="false" customHeight="false" outlineLevel="0" collapsed="false">
      <c r="A61" s="20" t="n">
        <f aca="false">1+A60</f>
        <v>52</v>
      </c>
      <c r="B61" s="15" t="n">
        <v>159</v>
      </c>
      <c r="C61" s="15" t="s">
        <v>102</v>
      </c>
      <c r="D61" s="16" t="s">
        <v>103</v>
      </c>
      <c r="E61" s="15" t="s">
        <v>18</v>
      </c>
      <c r="F61" s="17" t="n">
        <v>280000</v>
      </c>
      <c r="G61" s="18"/>
      <c r="H61" s="19" t="str">
        <f aca="false">TRIM(D61)</f>
        <v>Beef Tenderloin Local/Thit Bo Fillet</v>
      </c>
    </row>
    <row r="62" customFormat="false" ht="16.4" hidden="false" customHeight="false" outlineLevel="0" collapsed="false">
      <c r="A62" s="20" t="n">
        <f aca="false">1+A61</f>
        <v>53</v>
      </c>
      <c r="B62" s="15" t="n">
        <v>157</v>
      </c>
      <c r="C62" s="15" t="s">
        <v>104</v>
      </c>
      <c r="D62" s="16" t="s">
        <v>105</v>
      </c>
      <c r="E62" s="15" t="s">
        <v>18</v>
      </c>
      <c r="F62" s="17" t="n">
        <v>215000</v>
      </c>
      <c r="G62" s="17"/>
      <c r="H62" s="19" t="str">
        <f aca="false">TRIM(D62)</f>
        <v>Beef Thigh Local / Bap bo hoa tron</v>
      </c>
    </row>
    <row r="63" customFormat="false" ht="16.4" hidden="false" customHeight="false" outlineLevel="0" collapsed="false">
      <c r="A63" s="20" t="n">
        <f aca="false">1+A62</f>
        <v>54</v>
      </c>
      <c r="B63" s="15" t="n">
        <v>503</v>
      </c>
      <c r="C63" s="15" t="s">
        <v>106</v>
      </c>
      <c r="D63" s="16" t="s">
        <v>107</v>
      </c>
      <c r="E63" s="15" t="s">
        <v>18</v>
      </c>
      <c r="F63" s="17" t="n">
        <v>215000</v>
      </c>
      <c r="G63" s="17"/>
      <c r="H63" s="19" t="str">
        <f aca="false">TRIM(D63)</f>
        <v>Beef-Heel Muscle/Bap hoa</v>
      </c>
    </row>
    <row r="64" customFormat="false" ht="16.4" hidden="false" customHeight="false" outlineLevel="0" collapsed="false">
      <c r="A64" s="20" t="n">
        <f aca="false">1+A63</f>
        <v>55</v>
      </c>
      <c r="B64" s="15" t="n">
        <v>1954</v>
      </c>
      <c r="C64" s="15"/>
      <c r="D64" s="16" t="s">
        <v>108</v>
      </c>
      <c r="E64" s="15" t="s">
        <v>18</v>
      </c>
      <c r="F64" s="17" t="n">
        <v>30000</v>
      </c>
      <c r="G64" s="18"/>
      <c r="H64" s="19" t="str">
        <f aca="false">TRIM(D64)</f>
        <v>Bile leaf/ La moc mat</v>
      </c>
    </row>
    <row r="65" customFormat="false" ht="16.4" hidden="false" customHeight="false" outlineLevel="0" collapsed="false">
      <c r="A65" s="20" t="n">
        <f aca="false">1+A64</f>
        <v>56</v>
      </c>
      <c r="B65" s="15" t="n">
        <v>3210</v>
      </c>
      <c r="C65" s="15"/>
      <c r="D65" s="16" t="s">
        <v>109</v>
      </c>
      <c r="E65" s="15" t="s">
        <v>54</v>
      </c>
      <c r="F65" s="17" t="n">
        <v>64000</v>
      </c>
      <c r="G65" s="17"/>
      <c r="H65" s="19" t="str">
        <f aca="false">TRIM(D65)</f>
        <v>Bread Crumbs 1Kg Panko/ Bot chien 1Kg Panko</v>
      </c>
    </row>
    <row r="66" customFormat="false" ht="16.4" hidden="false" customHeight="false" outlineLevel="0" collapsed="false">
      <c r="A66" s="20" t="n">
        <f aca="false">1+A65</f>
        <v>57</v>
      </c>
      <c r="B66" s="15" t="n">
        <v>1786</v>
      </c>
      <c r="C66" s="15"/>
      <c r="D66" s="16" t="s">
        <v>110</v>
      </c>
      <c r="E66" s="15" t="s">
        <v>111</v>
      </c>
      <c r="F66" s="17" t="n">
        <v>7000</v>
      </c>
      <c r="G66" s="18"/>
      <c r="H66" s="19" t="str">
        <f aca="false">TRIM(D66)</f>
        <v>Bread Soffti/ Banh Mi tuoi Soffti 50gr</v>
      </c>
    </row>
    <row r="67" customFormat="false" ht="16.4" hidden="false" customHeight="false" outlineLevel="0" collapsed="false">
      <c r="A67" s="20" t="n">
        <f aca="false">1+A66</f>
        <v>58</v>
      </c>
      <c r="B67" s="15" t="n">
        <v>516</v>
      </c>
      <c r="C67" s="15"/>
      <c r="D67" s="16" t="s">
        <v>112</v>
      </c>
      <c r="E67" s="15" t="s">
        <v>18</v>
      </c>
      <c r="F67" s="17" t="n">
        <v>20000</v>
      </c>
      <c r="G67" s="18"/>
      <c r="H67" s="19" t="str">
        <f aca="false">TRIM(D67)</f>
        <v>Charcoal/ Than cui</v>
      </c>
    </row>
    <row r="68" customFormat="false" ht="16.4" hidden="false" customHeight="false" outlineLevel="0" collapsed="false">
      <c r="A68" s="20" t="n">
        <f aca="false">1+A67</f>
        <v>59</v>
      </c>
      <c r="B68" s="15" t="n">
        <v>504</v>
      </c>
      <c r="C68" s="15"/>
      <c r="D68" s="16" t="s">
        <v>113</v>
      </c>
      <c r="E68" s="15" t="s">
        <v>18</v>
      </c>
      <c r="F68" s="17" t="n">
        <v>198000</v>
      </c>
      <c r="G68" s="18"/>
      <c r="H68" s="19" t="str">
        <f aca="false">TRIM(D68)</f>
        <v>Chia Seed/ Hat chia</v>
      </c>
    </row>
    <row r="69" customFormat="false" ht="16.4" hidden="false" customHeight="false" outlineLevel="0" collapsed="false">
      <c r="A69" s="20" t="n">
        <f aca="false">1+A68</f>
        <v>60</v>
      </c>
      <c r="B69" s="15" t="n">
        <v>178</v>
      </c>
      <c r="C69" s="15" t="s">
        <v>114</v>
      </c>
      <c r="D69" s="16" t="s">
        <v>115</v>
      </c>
      <c r="E69" s="15" t="s">
        <v>18</v>
      </c>
      <c r="F69" s="17" t="n">
        <v>29000</v>
      </c>
      <c r="G69" s="18"/>
      <c r="H69" s="19" t="str">
        <f aca="false">TRIM(D69)</f>
        <v>Chicken Bone/Xuong Ga</v>
      </c>
    </row>
    <row r="70" customFormat="false" ht="16.4" hidden="false" customHeight="false" outlineLevel="0" collapsed="false">
      <c r="A70" s="20" t="n">
        <f aca="false">1+A69</f>
        <v>61</v>
      </c>
      <c r="B70" s="15" t="n">
        <v>172</v>
      </c>
      <c r="C70" s="15" t="s">
        <v>116</v>
      </c>
      <c r="D70" s="16" t="s">
        <v>117</v>
      </c>
      <c r="E70" s="15" t="s">
        <v>18</v>
      </c>
      <c r="F70" s="17" t="n">
        <v>98000</v>
      </c>
      <c r="G70" s="18"/>
      <c r="H70" s="19" t="str">
        <f aca="false">TRIM(D70)</f>
        <v>Chicken Drumstick Boneless/Dui Ga khong Xuong</v>
      </c>
    </row>
    <row r="71" customFormat="false" ht="16.4" hidden="false" customHeight="false" outlineLevel="0" collapsed="false">
      <c r="A71" s="20" t="n">
        <f aca="false">1+A70</f>
        <v>62</v>
      </c>
      <c r="B71" s="15" t="n">
        <v>434</v>
      </c>
      <c r="C71" s="15"/>
      <c r="D71" s="16" t="s">
        <v>118</v>
      </c>
      <c r="E71" s="15" t="s">
        <v>18</v>
      </c>
      <c r="F71" s="17" t="n">
        <v>68000</v>
      </c>
      <c r="G71" s="18"/>
      <c r="H71" s="19" t="str">
        <f aca="false">TRIM(D71)</f>
        <v>Chicken Drumstick/Dui toi Ga (4-5c/kg)</v>
      </c>
    </row>
    <row r="72" customFormat="false" ht="16.4" hidden="false" customHeight="false" outlineLevel="0" collapsed="false">
      <c r="A72" s="20" t="n">
        <f aca="false">1+A71</f>
        <v>63</v>
      </c>
      <c r="B72" s="15" t="n">
        <v>152</v>
      </c>
      <c r="C72" s="15" t="s">
        <v>119</v>
      </c>
      <c r="D72" s="16" t="s">
        <v>120</v>
      </c>
      <c r="E72" s="15" t="s">
        <v>111</v>
      </c>
      <c r="F72" s="17" t="n">
        <v>2800</v>
      </c>
      <c r="G72" s="17"/>
      <c r="H72" s="19" t="str">
        <f aca="false">TRIM(D72)</f>
        <v>Chicken Egg /Trung Ga</v>
      </c>
    </row>
    <row r="73" customFormat="false" ht="16.4" hidden="false" customHeight="false" outlineLevel="0" collapsed="false">
      <c r="A73" s="20" t="n">
        <f aca="false">1+A72</f>
        <v>64</v>
      </c>
      <c r="B73" s="15" t="n">
        <v>433</v>
      </c>
      <c r="C73" s="15" t="s">
        <v>121</v>
      </c>
      <c r="D73" s="16" t="s">
        <v>122</v>
      </c>
      <c r="E73" s="15" t="s">
        <v>111</v>
      </c>
      <c r="F73" s="17" t="n">
        <v>2800</v>
      </c>
      <c r="G73" s="18"/>
      <c r="H73" s="19" t="str">
        <f aca="false">TRIM(D73)</f>
        <v>Chicken egg CP 61-67gr/Trung ga CP 61-67gr</v>
      </c>
    </row>
    <row r="74" customFormat="false" ht="16.4" hidden="false" customHeight="false" outlineLevel="0" collapsed="false">
      <c r="A74" s="20" t="n">
        <f aca="false">1+A73</f>
        <v>65</v>
      </c>
      <c r="B74" s="15" t="n">
        <v>175</v>
      </c>
      <c r="C74" s="15" t="s">
        <v>123</v>
      </c>
      <c r="D74" s="16" t="s">
        <v>124</v>
      </c>
      <c r="E74" s="15" t="s">
        <v>18</v>
      </c>
      <c r="F74" s="17" t="n">
        <v>78000</v>
      </c>
      <c r="G74" s="18"/>
      <c r="H74" s="19" t="str">
        <f aca="false">TRIM(D74)</f>
        <v>Chicken Fillet breast/ Uc ga fillet</v>
      </c>
    </row>
    <row r="75" customFormat="false" ht="16.4" hidden="false" customHeight="false" outlineLevel="0" collapsed="false">
      <c r="A75" s="20" t="n">
        <f aca="false">1+A74</f>
        <v>66</v>
      </c>
      <c r="B75" s="15" t="n">
        <v>171</v>
      </c>
      <c r="C75" s="15" t="s">
        <v>125</v>
      </c>
      <c r="D75" s="16" t="s">
        <v>126</v>
      </c>
      <c r="E75" s="15" t="s">
        <v>18</v>
      </c>
      <c r="F75" s="17" t="n">
        <v>57000</v>
      </c>
      <c r="G75" s="18"/>
      <c r="H75" s="19" t="str">
        <f aca="false">TRIM(D75)</f>
        <v>Chicken Leg Quarter/Dui Ga Goc Tu</v>
      </c>
    </row>
    <row r="76" customFormat="false" ht="16.4" hidden="false" customHeight="false" outlineLevel="0" collapsed="false">
      <c r="A76" s="20" t="n">
        <f aca="false">1+A75</f>
        <v>67</v>
      </c>
      <c r="B76" s="15" t="n">
        <v>436</v>
      </c>
      <c r="C76" s="15"/>
      <c r="D76" s="16" t="s">
        <v>127</v>
      </c>
      <c r="E76" s="15" t="s">
        <v>18</v>
      </c>
      <c r="F76" s="17" t="n">
        <v>99000</v>
      </c>
      <c r="G76" s="18"/>
      <c r="H76" s="19" t="str">
        <f aca="false">TRIM(D76)</f>
        <v>Chicken Mid Wings/Canh ga khuc giua DL</v>
      </c>
    </row>
    <row r="77" customFormat="false" ht="16.4" hidden="false" customHeight="false" outlineLevel="0" collapsed="false">
      <c r="A77" s="20" t="n">
        <f aca="false">1+A76</f>
        <v>68</v>
      </c>
      <c r="B77" s="15" t="n">
        <v>177</v>
      </c>
      <c r="C77" s="15" t="s">
        <v>128</v>
      </c>
      <c r="D77" s="16" t="s">
        <v>129</v>
      </c>
      <c r="E77" s="15" t="s">
        <v>18</v>
      </c>
      <c r="F77" s="17" t="n">
        <v>102000</v>
      </c>
      <c r="G77" s="17"/>
      <c r="H77" s="19" t="str">
        <f aca="false">TRIM(D77)</f>
        <v>Chicken Whole Clean/ Ga trong lam sach (ga ta)</v>
      </c>
    </row>
    <row r="78" customFormat="false" ht="16.4" hidden="false" customHeight="false" outlineLevel="0" collapsed="false">
      <c r="A78" s="20" t="n">
        <f aca="false">1+A77</f>
        <v>69</v>
      </c>
      <c r="B78" s="15" t="n">
        <v>176</v>
      </c>
      <c r="C78" s="15" t="s">
        <v>130</v>
      </c>
      <c r="D78" s="16" t="s">
        <v>131</v>
      </c>
      <c r="E78" s="15" t="s">
        <v>18</v>
      </c>
      <c r="F78" s="17" t="n">
        <v>102000</v>
      </c>
      <c r="G78" s="17"/>
      <c r="H78" s="19" t="str">
        <f aca="false">TRIM(D78)</f>
        <v>Chicken Whole VN/Ga Ta nguyen Con lam sach 1.4kg/con</v>
      </c>
    </row>
    <row r="79" customFormat="false" ht="16.4" hidden="false" customHeight="false" outlineLevel="0" collapsed="false">
      <c r="A79" s="20" t="n">
        <f aca="false">1+A78</f>
        <v>70</v>
      </c>
      <c r="B79" s="15" t="n">
        <v>173</v>
      </c>
      <c r="C79" s="15" t="s">
        <v>132</v>
      </c>
      <c r="D79" s="16" t="s">
        <v>133</v>
      </c>
      <c r="E79" s="15" t="s">
        <v>18</v>
      </c>
      <c r="F79" s="17" t="n">
        <v>82000</v>
      </c>
      <c r="G79" s="18"/>
      <c r="H79" s="19" t="str">
        <f aca="false">TRIM(D79)</f>
        <v>Chicken Wings Indus/Canh Ga Cong Nghiep</v>
      </c>
    </row>
    <row r="80" customFormat="false" ht="16.4" hidden="false" customHeight="false" outlineLevel="0" collapsed="false">
      <c r="A80" s="20" t="n">
        <f aca="false">1+A79</f>
        <v>71</v>
      </c>
      <c r="B80" s="15" t="n">
        <v>435</v>
      </c>
      <c r="C80" s="15" t="s">
        <v>134</v>
      </c>
      <c r="D80" s="16" t="s">
        <v>135</v>
      </c>
      <c r="E80" s="15" t="s">
        <v>18</v>
      </c>
      <c r="F80" s="17" t="n">
        <v>72000</v>
      </c>
      <c r="G80" s="17"/>
      <c r="H80" s="19" t="str">
        <f aca="false">TRIM(D80)</f>
        <v>Chicken Wings, 3 joints/ Canh ga dong lanh</v>
      </c>
    </row>
    <row r="81" customFormat="false" ht="16.4" hidden="false" customHeight="false" outlineLevel="0" collapsed="false">
      <c r="A81" s="20" t="e">
        <f aca="false">1+#REF!</f>
        <v>#REF!</v>
      </c>
      <c r="B81" s="15" t="n">
        <v>3644</v>
      </c>
      <c r="C81" s="15"/>
      <c r="D81" s="16" t="s">
        <v>136</v>
      </c>
      <c r="E81" s="15" t="s">
        <v>111</v>
      </c>
      <c r="F81" s="17" t="n">
        <v>10000</v>
      </c>
      <c r="G81" s="18"/>
      <c r="H81" s="19" t="str">
        <f aca="false">TRIM(D81)</f>
        <v>Chinese medicine/ Thuoc Bac</v>
      </c>
    </row>
    <row r="82" customFormat="false" ht="16.4" hidden="false" customHeight="false" outlineLevel="0" collapsed="false">
      <c r="A82" s="20" t="e">
        <f aca="false">1+A81</f>
        <v>#REF!</v>
      </c>
      <c r="B82" s="15" t="n">
        <v>167</v>
      </c>
      <c r="C82" s="15" t="s">
        <v>137</v>
      </c>
      <c r="D82" s="16" t="s">
        <v>138</v>
      </c>
      <c r="E82" s="15" t="s">
        <v>18</v>
      </c>
      <c r="F82" s="17" t="n">
        <v>138000</v>
      </c>
      <c r="G82" s="17"/>
      <c r="H82" s="19" t="str">
        <f aca="false">TRIM(D82)</f>
        <v>Cinamon pork steam / Cha que</v>
      </c>
    </row>
    <row r="83" customFormat="false" ht="16.4" hidden="false" customHeight="false" outlineLevel="0" collapsed="false">
      <c r="A83" s="20" t="e">
        <f aca="false">1+A82</f>
        <v>#REF!</v>
      </c>
      <c r="B83" s="15" t="n">
        <v>2565</v>
      </c>
      <c r="C83" s="15"/>
      <c r="D83" s="16" t="s">
        <v>139</v>
      </c>
      <c r="E83" s="15" t="s">
        <v>111</v>
      </c>
      <c r="F83" s="17" t="n">
        <v>6000</v>
      </c>
      <c r="G83" s="18"/>
      <c r="H83" s="19" t="str">
        <f aca="false">TRIM(D83)</f>
        <v>Cinnamon Bamboo Toothpicks/Tam tre</v>
      </c>
    </row>
    <row r="84" customFormat="false" ht="16.4" hidden="false" customHeight="false" outlineLevel="0" collapsed="false">
      <c r="A84" s="20" t="e">
        <f aca="false">1+A83</f>
        <v>#REF!</v>
      </c>
      <c r="B84" s="15" t="n">
        <v>2319</v>
      </c>
      <c r="C84" s="15"/>
      <c r="D84" s="16" t="s">
        <v>140</v>
      </c>
      <c r="E84" s="15" t="s">
        <v>18</v>
      </c>
      <c r="F84" s="17" t="n">
        <v>180000</v>
      </c>
      <c r="G84" s="18"/>
      <c r="H84" s="19" t="str">
        <f aca="false">TRIM(D84)</f>
        <v>Cinnamon/Que cay dang cuon</v>
      </c>
    </row>
    <row r="85" customFormat="false" ht="16.4" hidden="false" customHeight="false" outlineLevel="0" collapsed="false">
      <c r="A85" s="20" t="e">
        <f aca="false">1+A84</f>
        <v>#REF!</v>
      </c>
      <c r="B85" s="15" t="n">
        <v>336</v>
      </c>
      <c r="C85" s="15" t="s">
        <v>141</v>
      </c>
      <c r="D85" s="16" t="s">
        <v>142</v>
      </c>
      <c r="E85" s="15" t="s">
        <v>143</v>
      </c>
      <c r="F85" s="17" t="n">
        <v>27500</v>
      </c>
      <c r="G85" s="18"/>
      <c r="H85" s="19" t="str">
        <f aca="false">TRIM(D85)</f>
        <v>Coconut Cream Wonderfarm 400ml/Nuoc Cot Dua</v>
      </c>
    </row>
    <row r="86" customFormat="false" ht="16.4" hidden="false" customHeight="false" outlineLevel="0" collapsed="false">
      <c r="A86" s="20" t="e">
        <f aca="false">1+A85</f>
        <v>#REF!</v>
      </c>
      <c r="B86" s="15" t="n">
        <v>400</v>
      </c>
      <c r="C86" s="15" t="s">
        <v>144</v>
      </c>
      <c r="D86" s="16" t="s">
        <v>145</v>
      </c>
      <c r="E86" s="15" t="s">
        <v>111</v>
      </c>
      <c r="F86" s="17" t="n">
        <v>30000</v>
      </c>
      <c r="G86" s="18"/>
      <c r="H86" s="19" t="str">
        <f aca="false">TRIM(D86)</f>
        <v>Coconut/ Dua xiem</v>
      </c>
    </row>
    <row r="87" customFormat="false" ht="16.4" hidden="false" customHeight="false" outlineLevel="0" collapsed="false">
      <c r="A87" s="20" t="e">
        <f aca="false">1+A86</f>
        <v>#REF!</v>
      </c>
      <c r="B87" s="15" t="n">
        <v>184</v>
      </c>
      <c r="C87" s="15"/>
      <c r="D87" s="16" t="s">
        <v>146</v>
      </c>
      <c r="E87" s="15" t="s">
        <v>147</v>
      </c>
      <c r="F87" s="17" t="n">
        <v>149000</v>
      </c>
      <c r="G87" s="18"/>
      <c r="H87" s="19" t="str">
        <f aca="false">TRIM(D87)</f>
        <v>Coffee G7 / Cafe G7 hoa tan den (Box 2grx50pcs)</v>
      </c>
    </row>
    <row r="88" customFormat="false" ht="16.4" hidden="false" customHeight="false" outlineLevel="0" collapsed="false">
      <c r="A88" s="20" t="e">
        <f aca="false">1+A87</f>
        <v>#REF!</v>
      </c>
      <c r="B88" s="15" t="n">
        <v>455</v>
      </c>
      <c r="C88" s="15"/>
      <c r="D88" s="16" t="s">
        <v>148</v>
      </c>
      <c r="E88" s="15" t="s">
        <v>149</v>
      </c>
      <c r="F88" s="17" t="n">
        <v>88000</v>
      </c>
      <c r="G88" s="18"/>
      <c r="H88" s="19" t="str">
        <f aca="false">TRIM(D88)</f>
        <v>Coffee G7 3 in 1 / Cafe G7 3 trong 1 (Box 21pcs)</v>
      </c>
    </row>
    <row r="89" customFormat="false" ht="16.4" hidden="false" customHeight="false" outlineLevel="0" collapsed="false">
      <c r="A89" s="20" t="e">
        <f aca="false">1+A88</f>
        <v>#REF!</v>
      </c>
      <c r="B89" s="15" t="n">
        <v>2442</v>
      </c>
      <c r="C89" s="15"/>
      <c r="D89" s="16" t="s">
        <v>150</v>
      </c>
      <c r="E89" s="15" t="s">
        <v>18</v>
      </c>
      <c r="F89" s="17" t="n">
        <v>40000</v>
      </c>
      <c r="G89" s="18"/>
      <c r="H89" s="19" t="str">
        <f aca="false">TRIM(D89)</f>
        <v>Dong Trieu sticky rice/ Gao nep Dong Trieu</v>
      </c>
    </row>
    <row r="90" customFormat="false" ht="16.4" hidden="false" customHeight="false" outlineLevel="0" collapsed="false">
      <c r="A90" s="20" t="e">
        <f aca="false">1+A89</f>
        <v>#REF!</v>
      </c>
      <c r="B90" s="15" t="n">
        <v>2870</v>
      </c>
      <c r="C90" s="15"/>
      <c r="D90" s="16" t="s">
        <v>151</v>
      </c>
      <c r="E90" s="15" t="s">
        <v>18</v>
      </c>
      <c r="F90" s="17" t="n">
        <v>650000</v>
      </c>
      <c r="G90" s="18"/>
      <c r="H90" s="19" t="str">
        <f aca="false">TRIM(D90)</f>
        <v>dried Iron shrimp/Tom sat kho</v>
      </c>
    </row>
    <row r="91" customFormat="false" ht="16.4" hidden="false" customHeight="false" outlineLevel="0" collapsed="false">
      <c r="A91" s="20" t="e">
        <f aca="false">1+A90</f>
        <v>#REF!</v>
      </c>
      <c r="B91" s="15" t="n">
        <v>335</v>
      </c>
      <c r="C91" s="15" t="s">
        <v>152</v>
      </c>
      <c r="D91" s="16" t="s">
        <v>153</v>
      </c>
      <c r="E91" s="15" t="s">
        <v>18</v>
      </c>
      <c r="F91" s="17" t="n">
        <v>150000</v>
      </c>
      <c r="G91" s="18"/>
      <c r="H91" s="19" t="str">
        <f aca="false">TRIM(D91)</f>
        <v>Dried Shallot/Hanh phi Kho</v>
      </c>
    </row>
    <row r="92" customFormat="false" ht="16.4" hidden="false" customHeight="false" outlineLevel="0" collapsed="false">
      <c r="A92" s="20" t="e">
        <f aca="false">1+A91</f>
        <v>#REF!</v>
      </c>
      <c r="B92" s="15" t="n">
        <v>1771</v>
      </c>
      <c r="C92" s="15"/>
      <c r="D92" s="16" t="s">
        <v>154</v>
      </c>
      <c r="E92" s="15" t="s">
        <v>18</v>
      </c>
      <c r="F92" s="17" t="n">
        <v>145000</v>
      </c>
      <c r="G92" s="18"/>
      <c r="H92" s="19" t="str">
        <f aca="false">TRIM(D92)</f>
        <v>Dried shrimps/ Tep kho</v>
      </c>
    </row>
    <row r="93" customFormat="false" ht="16.4" hidden="false" customHeight="false" outlineLevel="0" collapsed="false">
      <c r="A93" s="20" t="e">
        <f aca="false">1+A92</f>
        <v>#REF!</v>
      </c>
      <c r="B93" s="15" t="n">
        <v>3593</v>
      </c>
      <c r="C93" s="15"/>
      <c r="D93" s="16" t="s">
        <v>155</v>
      </c>
      <c r="E93" s="15" t="s">
        <v>18</v>
      </c>
      <c r="F93" s="17" t="n">
        <v>225000</v>
      </c>
      <c r="G93" s="18"/>
      <c r="H93" s="19" t="str">
        <f aca="false">TRIM(D93)</f>
        <v>Duck Breast fresh / Uc vit tuoi</v>
      </c>
    </row>
    <row r="94" customFormat="false" ht="16.4" hidden="false" customHeight="false" outlineLevel="0" collapsed="false">
      <c r="A94" s="20" t="e">
        <f aca="false">1+A93</f>
        <v>#REF!</v>
      </c>
      <c r="B94" s="15" t="n">
        <v>3244</v>
      </c>
      <c r="C94" s="15"/>
      <c r="D94" s="16" t="s">
        <v>156</v>
      </c>
      <c r="E94" s="15" t="s">
        <v>18</v>
      </c>
      <c r="F94" s="17" t="n">
        <v>104000</v>
      </c>
      <c r="G94" s="18"/>
      <c r="H94" s="19" t="str">
        <f aca="false">TRIM(D94)</f>
        <v>Duck removes neck and legs/ Vit bo co va chan</v>
      </c>
    </row>
    <row r="95" customFormat="false" ht="16.4" hidden="false" customHeight="false" outlineLevel="0" collapsed="false">
      <c r="A95" s="20" t="e">
        <f aca="false">1+A94</f>
        <v>#REF!</v>
      </c>
      <c r="B95" s="15" t="n">
        <v>181</v>
      </c>
      <c r="C95" s="15" t="s">
        <v>157</v>
      </c>
      <c r="D95" s="16" t="s">
        <v>158</v>
      </c>
      <c r="E95" s="15" t="s">
        <v>18</v>
      </c>
      <c r="F95" s="17" t="n">
        <v>82000</v>
      </c>
      <c r="G95" s="18"/>
      <c r="H95" s="19" t="str">
        <f aca="false">TRIM(D95)</f>
        <v>Duck whole 2.2 - 3kg/pcs/ vit nguyen con lam sach</v>
      </c>
    </row>
    <row r="96" customFormat="false" ht="16.4" hidden="false" customHeight="false" outlineLevel="0" collapsed="false">
      <c r="A96" s="20" t="e">
        <f aca="false">1+A95</f>
        <v>#REF!</v>
      </c>
      <c r="B96" s="15" t="n">
        <v>1790</v>
      </c>
      <c r="C96" s="15"/>
      <c r="D96" s="16" t="s">
        <v>159</v>
      </c>
      <c r="E96" s="15" t="s">
        <v>111</v>
      </c>
      <c r="F96" s="17" t="n">
        <v>5500</v>
      </c>
      <c r="G96" s="18"/>
      <c r="H96" s="19" t="str">
        <f aca="false">TRIM(D96)</f>
        <v>Fami soy milk 220ml/ Sua dau nanh Fami</v>
      </c>
    </row>
    <row r="97" customFormat="false" ht="16.4" hidden="false" customHeight="false" outlineLevel="0" collapsed="false">
      <c r="A97" s="20" t="e">
        <f aca="false">1+A96</f>
        <v>#REF!</v>
      </c>
      <c r="B97" s="15" t="n">
        <v>1950</v>
      </c>
      <c r="C97" s="15"/>
      <c r="D97" s="16" t="s">
        <v>160</v>
      </c>
      <c r="E97" s="15" t="s">
        <v>18</v>
      </c>
      <c r="F97" s="17" t="n">
        <v>112000</v>
      </c>
      <c r="G97" s="18"/>
      <c r="H97" s="19" t="str">
        <f aca="false">TRIM(D97)</f>
        <v>Fish - Anabas Clenned / Ca ro lam sach 4-5con/kg</v>
      </c>
    </row>
    <row r="98" customFormat="false" ht="16.4" hidden="false" customHeight="false" outlineLevel="0" collapsed="false">
      <c r="A98" s="20" t="e">
        <f aca="false">1+A97</f>
        <v>#REF!</v>
      </c>
      <c r="B98" s="15" t="n">
        <v>320</v>
      </c>
      <c r="C98" s="15" t="s">
        <v>161</v>
      </c>
      <c r="D98" s="16" t="s">
        <v>162</v>
      </c>
      <c r="E98" s="15" t="s">
        <v>18</v>
      </c>
      <c r="F98" s="17" t="n">
        <v>850000</v>
      </c>
      <c r="G98" s="18"/>
      <c r="H98" s="19" t="str">
        <f aca="false">TRIM(D98)</f>
        <v>Fish - Cobia fresh Fillet/ Ca bop Fillet tuoi 1.8-2kg/mieng</v>
      </c>
    </row>
    <row r="99" customFormat="false" ht="16.4" hidden="false" customHeight="false" outlineLevel="0" collapsed="false">
      <c r="A99" s="20" t="e">
        <f aca="false">1+A98</f>
        <v>#REF!</v>
      </c>
      <c r="B99" s="15" t="n">
        <v>2119</v>
      </c>
      <c r="C99" s="15"/>
      <c r="D99" s="16" t="s">
        <v>163</v>
      </c>
      <c r="E99" s="15" t="s">
        <v>18</v>
      </c>
      <c r="F99" s="17" t="n">
        <v>110000</v>
      </c>
      <c r="G99" s="18"/>
      <c r="H99" s="19" t="str">
        <f aca="false">TRIM(D99)</f>
        <v>Fish - Cut salmon/ Ca hoi cat ĐL</v>
      </c>
    </row>
    <row r="100" customFormat="false" ht="16.4" hidden="false" customHeight="false" outlineLevel="0" collapsed="false">
      <c r="A100" s="20" t="e">
        <f aca="false">1+A99</f>
        <v>#REF!</v>
      </c>
      <c r="B100" s="15" t="n">
        <v>323</v>
      </c>
      <c r="C100" s="15"/>
      <c r="D100" s="16" t="s">
        <v>164</v>
      </c>
      <c r="E100" s="15" t="s">
        <v>18</v>
      </c>
      <c r="F100" s="17" t="n">
        <v>185000</v>
      </c>
      <c r="G100" s="18"/>
      <c r="H100" s="19" t="str">
        <f aca="false">TRIM(D100)</f>
        <v>Fish - Naked Catfish / Ca lang</v>
      </c>
    </row>
    <row r="101" customFormat="false" ht="16.4" hidden="false" customHeight="false" outlineLevel="0" collapsed="false">
      <c r="A101" s="20" t="e">
        <f aca="false">1+A100</f>
        <v>#REF!</v>
      </c>
      <c r="B101" s="15" t="n">
        <v>2722</v>
      </c>
      <c r="C101" s="15"/>
      <c r="D101" s="16" t="s">
        <v>165</v>
      </c>
      <c r="E101" s="15" t="s">
        <v>18</v>
      </c>
      <c r="F101" s="17" t="n">
        <v>95000</v>
      </c>
      <c r="G101" s="18"/>
      <c r="H101" s="19" t="str">
        <f aca="false">TRIM(D101)</f>
        <v>Fish - Pangasius kunyit Sliced/Ca dua cat lat 150-160g/mieng</v>
      </c>
    </row>
    <row r="102" customFormat="false" ht="16.4" hidden="false" customHeight="false" outlineLevel="0" collapsed="false">
      <c r="A102" s="20" t="e">
        <f aca="false">1+A101</f>
        <v>#REF!</v>
      </c>
      <c r="B102" s="15" t="n">
        <v>2869</v>
      </c>
      <c r="C102" s="15"/>
      <c r="D102" s="16" t="s">
        <v>166</v>
      </c>
      <c r="E102" s="15" t="s">
        <v>18</v>
      </c>
      <c r="F102" s="17" t="n">
        <v>90000</v>
      </c>
      <c r="G102" s="18"/>
      <c r="H102" s="19" t="str">
        <f aca="false">TRIM(D102)</f>
        <v>Fish - Plier fish/ Kim khuc ĐL</v>
      </c>
    </row>
    <row r="103" customFormat="false" ht="16.4" hidden="false" customHeight="false" outlineLevel="0" collapsed="false">
      <c r="A103" s="20" t="e">
        <f aca="false">1+A102</f>
        <v>#REF!</v>
      </c>
      <c r="B103" s="15" t="n">
        <v>312</v>
      </c>
      <c r="C103" s="15" t="s">
        <v>167</v>
      </c>
      <c r="D103" s="16" t="s">
        <v>168</v>
      </c>
      <c r="E103" s="15" t="s">
        <v>18</v>
      </c>
      <c r="F103" s="17" t="n">
        <v>65000</v>
      </c>
      <c r="G103" s="18"/>
      <c r="H103" s="19" t="str">
        <f aca="false">TRIM(D103)</f>
        <v>Fish - Pompano / Ca nuc</v>
      </c>
    </row>
    <row r="104" customFormat="false" ht="16.4" hidden="false" customHeight="false" outlineLevel="0" collapsed="false">
      <c r="A104" s="20" t="e">
        <f aca="false">1+A103</f>
        <v>#REF!</v>
      </c>
      <c r="B104" s="15" t="n">
        <v>313</v>
      </c>
      <c r="C104" s="15" t="s">
        <v>169</v>
      </c>
      <c r="D104" s="16" t="s">
        <v>170</v>
      </c>
      <c r="E104" s="15" t="s">
        <v>18</v>
      </c>
      <c r="F104" s="17" t="n">
        <v>85000</v>
      </c>
      <c r="G104" s="18"/>
      <c r="H104" s="19" t="str">
        <f aca="false">TRIM(D104)</f>
        <v>Fish - Red Talapia/ Ca Dieu Hong song</v>
      </c>
    </row>
    <row r="105" customFormat="false" ht="16.4" hidden="false" customHeight="false" outlineLevel="0" collapsed="false">
      <c r="A105" s="20" t="e">
        <f aca="false">1+A104</f>
        <v>#REF!</v>
      </c>
      <c r="B105" s="15" t="n">
        <v>316</v>
      </c>
      <c r="C105" s="15" t="s">
        <v>171</v>
      </c>
      <c r="D105" s="16" t="s">
        <v>172</v>
      </c>
      <c r="E105" s="15" t="s">
        <v>18</v>
      </c>
      <c r="F105" s="17" t="n">
        <v>80000</v>
      </c>
      <c r="G105" s="18"/>
      <c r="H105" s="19" t="str">
        <f aca="false">TRIM(D105)</f>
        <v>Fish - Scad / Ca bac ma</v>
      </c>
    </row>
    <row r="106" customFormat="false" ht="16.4" hidden="false" customHeight="false" outlineLevel="0" collapsed="false">
      <c r="A106" s="20" t="e">
        <f aca="false">1+A105</f>
        <v>#REF!</v>
      </c>
      <c r="B106" s="15" t="n">
        <v>322</v>
      </c>
      <c r="C106" s="15" t="s">
        <v>173</v>
      </c>
      <c r="D106" s="16" t="s">
        <v>174</v>
      </c>
      <c r="E106" s="15" t="s">
        <v>18</v>
      </c>
      <c r="F106" s="17" t="n">
        <v>75000</v>
      </c>
      <c r="G106" s="18"/>
      <c r="H106" s="19" t="str">
        <f aca="false">TRIM(D106)</f>
        <v>Fish - Scad cleaned / Ca bac ma lam sach</v>
      </c>
    </row>
    <row r="107" customFormat="false" ht="16.4" hidden="false" customHeight="false" outlineLevel="0" collapsed="false">
      <c r="A107" s="20" t="e">
        <f aca="false">1+A106</f>
        <v>#REF!</v>
      </c>
      <c r="B107" s="15" t="n">
        <v>2099</v>
      </c>
      <c r="C107" s="15"/>
      <c r="D107" s="16" t="s">
        <v>175</v>
      </c>
      <c r="E107" s="15" t="s">
        <v>18</v>
      </c>
      <c r="F107" s="17" t="n">
        <v>280000</v>
      </c>
      <c r="G107" s="18"/>
      <c r="H107" s="19" t="str">
        <f aca="false">TRIM(D107)</f>
        <v>Fish - Seabass fresh fillet/ Ca chem fillet tuoi 600-700gr/m</v>
      </c>
    </row>
    <row r="108" customFormat="false" ht="16.4" hidden="false" customHeight="false" outlineLevel="0" collapsed="false">
      <c r="A108" s="20" t="e">
        <f aca="false">1+A107</f>
        <v>#REF!</v>
      </c>
      <c r="B108" s="15" t="n">
        <v>315</v>
      </c>
      <c r="C108" s="15" t="s">
        <v>176</v>
      </c>
      <c r="D108" s="16" t="s">
        <v>177</v>
      </c>
      <c r="E108" s="15" t="s">
        <v>18</v>
      </c>
      <c r="F108" s="17" t="n">
        <v>240000</v>
      </c>
      <c r="G108" s="18"/>
      <c r="H108" s="19" t="str">
        <f aca="false">TRIM(D108)</f>
        <v>Fish - Snapper fresh/ Ca hong bien nguyen con 2-3kg/con</v>
      </c>
    </row>
    <row r="109" customFormat="false" ht="16.4" hidden="false" customHeight="false" outlineLevel="0" collapsed="false">
      <c r="A109" s="20" t="e">
        <f aca="false">1+A108</f>
        <v>#REF!</v>
      </c>
      <c r="B109" s="15" t="n">
        <v>2118</v>
      </c>
      <c r="C109" s="15"/>
      <c r="D109" s="16" t="s">
        <v>178</v>
      </c>
      <c r="E109" s="15" t="s">
        <v>18</v>
      </c>
      <c r="F109" s="17" t="n">
        <v>70000</v>
      </c>
      <c r="G109" s="18"/>
      <c r="H109" s="19" t="str">
        <f aca="false">TRIM(D109)</f>
        <v>Fish - Tuna/ Ca ngu lam sach 3-4kg/con</v>
      </c>
    </row>
    <row r="110" customFormat="false" ht="16.4" hidden="false" customHeight="false" outlineLevel="0" collapsed="false">
      <c r="A110" s="20" t="e">
        <f aca="false">1+A109</f>
        <v>#REF!</v>
      </c>
      <c r="B110" s="15" t="n">
        <v>1803</v>
      </c>
      <c r="C110" s="15"/>
      <c r="D110" s="16" t="s">
        <v>179</v>
      </c>
      <c r="E110" s="15" t="s">
        <v>18</v>
      </c>
      <c r="F110" s="17" t="n">
        <v>85000</v>
      </c>
      <c r="G110" s="18"/>
      <c r="H110" s="19" t="str">
        <f aca="false">TRIM(D110)</f>
        <v>Fish "Phen"/ Ca phen</v>
      </c>
    </row>
    <row r="111" customFormat="false" ht="16.4" hidden="false" customHeight="false" outlineLevel="0" collapsed="false">
      <c r="A111" s="20" t="e">
        <f aca="false">1+A110</f>
        <v>#REF!</v>
      </c>
      <c r="B111" s="15" t="n">
        <v>326</v>
      </c>
      <c r="C111" s="15" t="s">
        <v>180</v>
      </c>
      <c r="D111" s="16" t="s">
        <v>181</v>
      </c>
      <c r="E111" s="15" t="s">
        <v>18</v>
      </c>
      <c r="F111" s="17" t="n">
        <v>200000</v>
      </c>
      <c r="G111" s="18"/>
      <c r="H111" s="19" t="str">
        <f aca="false">TRIM(D111)</f>
        <v>Fish / Lutjanidae / Ca hong 0.8g-1kg/con</v>
      </c>
    </row>
    <row r="112" customFormat="false" ht="16.4" hidden="false" customHeight="false" outlineLevel="0" collapsed="false">
      <c r="A112" s="20" t="e">
        <f aca="false">1+A111</f>
        <v>#REF!</v>
      </c>
      <c r="B112" s="15" t="n">
        <v>2101</v>
      </c>
      <c r="C112" s="15"/>
      <c r="D112" s="16" t="s">
        <v>182</v>
      </c>
      <c r="E112" s="15" t="s">
        <v>111</v>
      </c>
      <c r="F112" s="17" t="n">
        <v>2000</v>
      </c>
      <c r="G112" s="18"/>
      <c r="H112" s="19" t="str">
        <f aca="false">TRIM(D112)</f>
        <v>Five spice powder/ Ngu vi huong</v>
      </c>
    </row>
    <row r="113" customFormat="false" ht="16.4" hidden="false" customHeight="false" outlineLevel="0" collapsed="false">
      <c r="A113" s="20" t="e">
        <f aca="false">1+A112</f>
        <v>#REF!</v>
      </c>
      <c r="B113" s="15" t="n">
        <v>476</v>
      </c>
      <c r="C113" s="15"/>
      <c r="D113" s="16" t="s">
        <v>183</v>
      </c>
      <c r="E113" s="15" t="s">
        <v>111</v>
      </c>
      <c r="F113" s="17" t="n">
        <v>360000</v>
      </c>
      <c r="G113" s="18"/>
      <c r="H113" s="19" t="str">
        <f aca="false">TRIM(D113)</f>
        <v>Food Covering (PVC film) 45cm x 618m/ Mang Boc TP (Mang PVC)</v>
      </c>
    </row>
    <row r="114" customFormat="false" ht="16.4" hidden="false" customHeight="false" outlineLevel="0" collapsed="false">
      <c r="A114" s="20" t="e">
        <f aca="false">1+A113</f>
        <v>#REF!</v>
      </c>
      <c r="B114" s="15" t="n">
        <v>166</v>
      </c>
      <c r="C114" s="15" t="s">
        <v>184</v>
      </c>
      <c r="D114" s="16" t="s">
        <v>185</v>
      </c>
      <c r="E114" s="15" t="s">
        <v>18</v>
      </c>
      <c r="F114" s="17" t="n">
        <v>138000</v>
      </c>
      <c r="G114" s="18"/>
      <c r="H114" s="19" t="str">
        <f aca="false">TRIM(D114)</f>
        <v>Fried pork bologna/Cha Lua Chien</v>
      </c>
    </row>
    <row r="115" customFormat="false" ht="16.4" hidden="false" customHeight="false" outlineLevel="0" collapsed="false">
      <c r="A115" s="20" t="e">
        <f aca="false">1+A114</f>
        <v>#REF!</v>
      </c>
      <c r="B115" s="15" t="n">
        <v>2866</v>
      </c>
      <c r="C115" s="15"/>
      <c r="D115" s="16" t="s">
        <v>186</v>
      </c>
      <c r="E115" s="15" t="s">
        <v>18</v>
      </c>
      <c r="F115" s="17" t="n">
        <v>140000</v>
      </c>
      <c r="G115" s="18"/>
      <c r="H115" s="19" t="str">
        <f aca="false">TRIM(D115)</f>
        <v>fried sausage/ Gio xao</v>
      </c>
    </row>
    <row r="116" customFormat="false" ht="16.4" hidden="false" customHeight="false" outlineLevel="0" collapsed="false">
      <c r="A116" s="20" t="e">
        <f aca="false">1+A115</f>
        <v>#REF!</v>
      </c>
      <c r="B116" s="15" t="n">
        <v>2291</v>
      </c>
      <c r="C116" s="15"/>
      <c r="D116" s="16" t="s">
        <v>187</v>
      </c>
      <c r="E116" s="15" t="s">
        <v>18</v>
      </c>
      <c r="F116" s="17" t="n">
        <v>115000</v>
      </c>
      <c r="G116" s="18"/>
      <c r="H116" s="19" t="str">
        <f aca="false">TRIM(D116)</f>
        <v>Frog legs/ Dui ech ĐL</v>
      </c>
    </row>
    <row r="117" customFormat="false" ht="16.4" hidden="false" customHeight="false" outlineLevel="0" collapsed="false">
      <c r="A117" s="20" t="e">
        <f aca="false">1+A116</f>
        <v>#REF!</v>
      </c>
      <c r="B117" s="15" t="n">
        <v>2244</v>
      </c>
      <c r="C117" s="15"/>
      <c r="D117" s="16" t="s">
        <v>188</v>
      </c>
      <c r="E117" s="15" t="s">
        <v>18</v>
      </c>
      <c r="F117" s="17" t="n">
        <v>440000</v>
      </c>
      <c r="G117" s="18"/>
      <c r="H117" s="19" t="str">
        <f aca="false">TRIM(D117)</f>
        <v>frozen abalone/ Bao ngu ĐL size 10-12</v>
      </c>
    </row>
    <row r="118" customFormat="false" ht="16.4" hidden="false" customHeight="false" outlineLevel="0" collapsed="false">
      <c r="A118" s="20" t="e">
        <f aca="false">1+A117</f>
        <v>#REF!</v>
      </c>
      <c r="B118" s="15" t="n">
        <v>180</v>
      </c>
      <c r="C118" s="15" t="s">
        <v>189</v>
      </c>
      <c r="D118" s="16" t="s">
        <v>190</v>
      </c>
      <c r="E118" s="15" t="s">
        <v>18</v>
      </c>
      <c r="F118" s="17" t="n">
        <v>68000</v>
      </c>
      <c r="G118" s="18"/>
      <c r="H118" s="19" t="str">
        <f aca="false">TRIM(D118)</f>
        <v>Frozen Chicken Leg Quarter/ Dui ga goc tu DL My</v>
      </c>
    </row>
    <row r="119" customFormat="false" ht="16.4" hidden="false" customHeight="false" outlineLevel="0" collapsed="false">
      <c r="A119" s="20" t="e">
        <f aca="false">1+A118</f>
        <v>#REF!</v>
      </c>
      <c r="B119" s="15" t="n">
        <v>179</v>
      </c>
      <c r="C119" s="15" t="s">
        <v>191</v>
      </c>
      <c r="D119" s="16" t="s">
        <v>192</v>
      </c>
      <c r="E119" s="15" t="s">
        <v>18</v>
      </c>
      <c r="F119" s="17" t="n">
        <v>100000</v>
      </c>
      <c r="G119" s="18"/>
      <c r="H119" s="19" t="str">
        <f aca="false">TRIM(D119)</f>
        <v>Frozen Chicken Thigh Meat Skinless/ Thit dui ga khong da DL</v>
      </c>
    </row>
    <row r="120" customFormat="false" ht="16.4" hidden="false" customHeight="false" outlineLevel="0" collapsed="false">
      <c r="A120" s="20" t="e">
        <f aca="false">1+A119</f>
        <v>#REF!</v>
      </c>
      <c r="B120" s="15" t="n">
        <v>174</v>
      </c>
      <c r="C120" s="15" t="s">
        <v>193</v>
      </c>
      <c r="D120" s="16" t="s">
        <v>194</v>
      </c>
      <c r="E120" s="15" t="s">
        <v>18</v>
      </c>
      <c r="F120" s="17" t="n">
        <v>72000</v>
      </c>
      <c r="G120" s="18"/>
      <c r="H120" s="19" t="str">
        <f aca="false">TRIM(D120)</f>
        <v>Frozen Chicken wings / Canh ga dong lanh</v>
      </c>
    </row>
    <row r="121" customFormat="false" ht="16.4" hidden="false" customHeight="false" outlineLevel="0" collapsed="false">
      <c r="A121" s="20" t="e">
        <f aca="false">1+A120</f>
        <v>#REF!</v>
      </c>
      <c r="B121" s="15" t="n">
        <v>418</v>
      </c>
      <c r="C121" s="15" t="s">
        <v>195</v>
      </c>
      <c r="D121" s="16" t="s">
        <v>196</v>
      </c>
      <c r="E121" s="15" t="s">
        <v>18</v>
      </c>
      <c r="F121" s="17" t="n">
        <v>33000</v>
      </c>
      <c r="G121" s="18"/>
      <c r="H121" s="19" t="str">
        <f aca="false">TRIM(D121)</f>
        <v>Fru Banana Huong/Chuoi Huong</v>
      </c>
    </row>
    <row r="122" customFormat="false" ht="16.4" hidden="false" customHeight="false" outlineLevel="0" collapsed="false">
      <c r="A122" s="20" t="e">
        <f aca="false">1+A121</f>
        <v>#REF!</v>
      </c>
      <c r="B122" s="15" t="n">
        <v>422</v>
      </c>
      <c r="C122" s="15" t="s">
        <v>197</v>
      </c>
      <c r="D122" s="16" t="s">
        <v>198</v>
      </c>
      <c r="E122" s="15" t="s">
        <v>18</v>
      </c>
      <c r="F122" s="17" t="n">
        <v>27000</v>
      </c>
      <c r="G122" s="18"/>
      <c r="H122" s="19" t="str">
        <f aca="false">TRIM(D122)</f>
        <v>Fru Coconut old Clean/Dua gia tuoi got sach</v>
      </c>
    </row>
    <row r="123" customFormat="false" ht="16.4" hidden="false" customHeight="false" outlineLevel="0" collapsed="false">
      <c r="A123" s="20" t="e">
        <f aca="false">1+A122</f>
        <v>#REF!</v>
      </c>
      <c r="B123" s="15" t="n">
        <v>409</v>
      </c>
      <c r="C123" s="15"/>
      <c r="D123" s="16" t="s">
        <v>199</v>
      </c>
      <c r="E123" s="15" t="s">
        <v>18</v>
      </c>
      <c r="F123" s="17" t="n">
        <v>48000</v>
      </c>
      <c r="G123" s="18"/>
      <c r="H123" s="19" t="str">
        <f aca="false">TRIM(D123)</f>
        <v>Fru Dragon Big 600gr Up/Pc/Thanh long qua to</v>
      </c>
    </row>
    <row r="124" customFormat="false" ht="16.4" hidden="false" customHeight="false" outlineLevel="0" collapsed="false">
      <c r="A124" s="20" t="e">
        <f aca="false">1+A123</f>
        <v>#REF!</v>
      </c>
      <c r="B124" s="15" t="n">
        <v>408</v>
      </c>
      <c r="C124" s="15"/>
      <c r="D124" s="16" t="s">
        <v>200</v>
      </c>
      <c r="E124" s="15" t="s">
        <v>18</v>
      </c>
      <c r="F124" s="17" t="n">
        <v>36000</v>
      </c>
      <c r="G124" s="17"/>
      <c r="H124" s="19" t="str">
        <f aca="false">TRIM(D124)</f>
        <v>Fru Dragon Fruit White Core/Thanh Long Trang</v>
      </c>
    </row>
    <row r="125" customFormat="false" ht="16.4" hidden="false" customHeight="false" outlineLevel="0" collapsed="false">
      <c r="A125" s="20" t="e">
        <f aca="false">1+A124</f>
        <v>#REF!</v>
      </c>
      <c r="B125" s="15" t="n">
        <v>417</v>
      </c>
      <c r="C125" s="15" t="s">
        <v>201</v>
      </c>
      <c r="D125" s="16" t="s">
        <v>202</v>
      </c>
      <c r="E125" s="15" t="s">
        <v>18</v>
      </c>
      <c r="F125" s="17" t="n">
        <v>290000</v>
      </c>
      <c r="G125" s="18"/>
      <c r="H125" s="19" t="str">
        <f aca="false">TRIM(D125)</f>
        <v>Fru Grape Black Import/Nho Den Nhap Khau</v>
      </c>
    </row>
    <row r="126" customFormat="false" ht="16.4" hidden="false" customHeight="false" outlineLevel="0" collapsed="false">
      <c r="A126" s="20" t="e">
        <f aca="false">1+A125</f>
        <v>#REF!</v>
      </c>
      <c r="B126" s="15" t="n">
        <v>2830</v>
      </c>
      <c r="C126" s="15"/>
      <c r="D126" s="16" t="s">
        <v>203</v>
      </c>
      <c r="E126" s="15" t="s">
        <v>18</v>
      </c>
      <c r="F126" s="17" t="n">
        <v>230000</v>
      </c>
      <c r="G126" s="18"/>
      <c r="H126" s="19" t="str">
        <f aca="false">TRIM(D126)</f>
        <v>Fru Grape Green seedless/Nho Xanh khong hat</v>
      </c>
    </row>
    <row r="127" customFormat="false" ht="16.4" hidden="false" customHeight="false" outlineLevel="0" collapsed="false">
      <c r="A127" s="20" t="e">
        <f aca="false">1+A126</f>
        <v>#REF!</v>
      </c>
      <c r="B127" s="15" t="n">
        <v>2977</v>
      </c>
      <c r="C127" s="15"/>
      <c r="D127" s="16" t="s">
        <v>204</v>
      </c>
      <c r="E127" s="15" t="s">
        <v>18</v>
      </c>
      <c r="F127" s="17" t="n">
        <v>16000</v>
      </c>
      <c r="G127" s="18"/>
      <c r="H127" s="19" t="str">
        <f aca="false">TRIM(D127)</f>
        <v>Fru Green Banana/Chuoi xanh</v>
      </c>
    </row>
    <row r="128" customFormat="false" ht="16.4" hidden="false" customHeight="false" outlineLevel="0" collapsed="false">
      <c r="A128" s="20" t="e">
        <f aca="false">1+A127</f>
        <v>#REF!</v>
      </c>
      <c r="B128" s="15" t="n">
        <v>2976</v>
      </c>
      <c r="C128" s="15"/>
      <c r="D128" s="16" t="s">
        <v>205</v>
      </c>
      <c r="E128" s="15" t="s">
        <v>18</v>
      </c>
      <c r="F128" s="17" t="n">
        <v>28000</v>
      </c>
      <c r="G128" s="18"/>
      <c r="H128" s="19" t="str">
        <f aca="false">TRIM(D128)</f>
        <v>Fru Guava White Core/Oi Le ruot trang</v>
      </c>
    </row>
    <row r="129" customFormat="false" ht="16.4" hidden="false" customHeight="false" outlineLevel="0" collapsed="false">
      <c r="A129" s="20" t="e">
        <f aca="false">1+A128</f>
        <v>#REF!</v>
      </c>
      <c r="B129" s="15" t="n">
        <v>411</v>
      </c>
      <c r="C129" s="15" t="s">
        <v>206</v>
      </c>
      <c r="D129" s="16" t="s">
        <v>207</v>
      </c>
      <c r="E129" s="15" t="s">
        <v>18</v>
      </c>
      <c r="F129" s="17" t="n">
        <v>50000</v>
      </c>
      <c r="G129" s="18"/>
      <c r="H129" s="19" t="str">
        <f aca="false">TRIM(D129)</f>
        <v>Fru Mango Cat Chu (grade 2)/Xoai Cat Chu</v>
      </c>
    </row>
    <row r="130" customFormat="false" ht="16.4" hidden="false" customHeight="false" outlineLevel="0" collapsed="false">
      <c r="A130" s="20" t="e">
        <f aca="false">1+A129</f>
        <v>#REF!</v>
      </c>
      <c r="B130" s="15" t="n">
        <v>412</v>
      </c>
      <c r="C130" s="15" t="s">
        <v>208</v>
      </c>
      <c r="D130" s="16" t="s">
        <v>209</v>
      </c>
      <c r="E130" s="15" t="s">
        <v>18</v>
      </c>
      <c r="F130" s="17" t="n">
        <v>65000</v>
      </c>
      <c r="G130" s="18"/>
      <c r="H130" s="19" t="str">
        <f aca="false">TRIM(D130)</f>
        <v>Fru Mango Hoa Loc (grade 1)/Xoai Hoa Loc</v>
      </c>
    </row>
    <row r="131" customFormat="false" ht="16.4" hidden="false" customHeight="false" outlineLevel="0" collapsed="false">
      <c r="A131" s="20" t="e">
        <f aca="false">1+A130</f>
        <v>#REF!</v>
      </c>
      <c r="B131" s="15" t="n">
        <v>413</v>
      </c>
      <c r="C131" s="15" t="s">
        <v>210</v>
      </c>
      <c r="D131" s="16" t="s">
        <v>211</v>
      </c>
      <c r="E131" s="15" t="s">
        <v>18</v>
      </c>
      <c r="F131" s="17" t="n">
        <v>33000</v>
      </c>
      <c r="G131" s="18"/>
      <c r="H131" s="19" t="str">
        <f aca="false">TRIM(D131)</f>
        <v>Fru Mango Keo yellow (grade 3)/Xoai keo vang</v>
      </c>
    </row>
    <row r="132" customFormat="false" ht="16.4" hidden="false" customHeight="false" outlineLevel="0" collapsed="false">
      <c r="A132" s="20" t="e">
        <f aca="false">1+A131</f>
        <v>#REF!</v>
      </c>
      <c r="B132" s="15" t="n">
        <v>2975</v>
      </c>
      <c r="C132" s="15"/>
      <c r="D132" s="16" t="s">
        <v>212</v>
      </c>
      <c r="E132" s="15" t="s">
        <v>18</v>
      </c>
      <c r="F132" s="17" t="n">
        <v>60000</v>
      </c>
      <c r="G132" s="18"/>
      <c r="H132" s="19" t="str">
        <f aca="false">TRIM(D132)</f>
        <v>Fru Pomelo Pink/Buoi Hong Da xanh</v>
      </c>
    </row>
    <row r="133" customFormat="false" ht="16.4" hidden="false" customHeight="false" outlineLevel="0" collapsed="false">
      <c r="A133" s="20" t="e">
        <f aca="false">1+A132</f>
        <v>#REF!</v>
      </c>
      <c r="B133" s="15" t="n">
        <v>428</v>
      </c>
      <c r="C133" s="15" t="s">
        <v>213</v>
      </c>
      <c r="D133" s="16" t="s">
        <v>214</v>
      </c>
      <c r="E133" s="15" t="s">
        <v>18</v>
      </c>
      <c r="F133" s="17" t="n">
        <v>37000</v>
      </c>
      <c r="G133" s="18"/>
      <c r="H133" s="19" t="str">
        <f aca="false">TRIM(D133)</f>
        <v>Fru Tamarind/Me</v>
      </c>
    </row>
    <row r="134" customFormat="false" ht="16.4" hidden="false" customHeight="false" outlineLevel="0" collapsed="false">
      <c r="A134" s="20" t="e">
        <f aca="false">1+A133</f>
        <v>#REF!</v>
      </c>
      <c r="B134" s="15" t="n">
        <v>410</v>
      </c>
      <c r="C134" s="15" t="s">
        <v>215</v>
      </c>
      <c r="D134" s="16" t="s">
        <v>216</v>
      </c>
      <c r="E134" s="15" t="s">
        <v>18</v>
      </c>
      <c r="F134" s="17" t="n">
        <v>24000</v>
      </c>
      <c r="G134" s="18"/>
      <c r="H134" s="19" t="str">
        <f aca="false">TRIM(D134)</f>
        <v>Fru Watermelon seedless/Dua hau khong hat</v>
      </c>
    </row>
    <row r="135" customFormat="false" ht="16.4" hidden="false" customHeight="false" outlineLevel="0" collapsed="false">
      <c r="A135" s="20" t="e">
        <f aca="false">1+A134</f>
        <v>#REF!</v>
      </c>
      <c r="B135" s="15" t="n">
        <v>2808</v>
      </c>
      <c r="C135" s="15"/>
      <c r="D135" s="16" t="s">
        <v>217</v>
      </c>
      <c r="E135" s="15" t="s">
        <v>18</v>
      </c>
      <c r="F135" s="17" t="n">
        <v>90000</v>
      </c>
      <c r="G135" s="18"/>
      <c r="H135" s="19" t="str">
        <f aca="false">TRIM(D135)</f>
        <v>Fruit - fresh jujube/ Qua hong tao</v>
      </c>
    </row>
    <row r="136" customFormat="false" ht="16.4" hidden="false" customHeight="false" outlineLevel="0" collapsed="false">
      <c r="A136" s="20" t="e">
        <f aca="false">1+A135</f>
        <v>#REF!</v>
      </c>
      <c r="B136" s="15" t="n">
        <v>3789</v>
      </c>
      <c r="C136" s="15" t="s">
        <v>218</v>
      </c>
      <c r="D136" s="16" t="s">
        <v>219</v>
      </c>
      <c r="E136" s="15" t="s">
        <v>18</v>
      </c>
      <c r="F136" s="17" t="n">
        <v>30000</v>
      </c>
      <c r="G136" s="18"/>
      <c r="H136" s="19" t="str">
        <f aca="false">TRIM(D136)</f>
        <v>Fruit - Plum/ Man Hau</v>
      </c>
    </row>
    <row r="137" customFormat="false" ht="16.4" hidden="false" customHeight="false" outlineLevel="0" collapsed="false">
      <c r="A137" s="20" t="e">
        <f aca="false">1+A136</f>
        <v>#REF!</v>
      </c>
      <c r="B137" s="15" t="n">
        <v>3641</v>
      </c>
      <c r="C137" s="15"/>
      <c r="D137" s="16" t="s">
        <v>220</v>
      </c>
      <c r="E137" s="15" t="s">
        <v>18</v>
      </c>
      <c r="F137" s="17" t="n">
        <v>45000</v>
      </c>
      <c r="G137" s="18"/>
      <c r="H137" s="19" t="str">
        <f aca="false">TRIM(D137)</f>
        <v>Fruit - Sweet orange/ Cam duong ngot</v>
      </c>
    </row>
    <row r="138" customFormat="false" ht="16.4" hidden="false" customHeight="false" outlineLevel="0" collapsed="false">
      <c r="A138" s="20" t="e">
        <f aca="false">1+A137</f>
        <v>#REF!</v>
      </c>
      <c r="B138" s="15" t="n">
        <v>414</v>
      </c>
      <c r="C138" s="15" t="s">
        <v>221</v>
      </c>
      <c r="D138" s="16" t="s">
        <v>222</v>
      </c>
      <c r="E138" s="15" t="s">
        <v>18</v>
      </c>
      <c r="F138" s="17" t="n">
        <v>93000</v>
      </c>
      <c r="G138" s="17"/>
      <c r="H138" s="19" t="str">
        <f aca="false">TRIM(D138)</f>
        <v>Fruit Apple Green US/Tao Xanh My</v>
      </c>
    </row>
    <row r="139" customFormat="false" ht="16.4" hidden="false" customHeight="false" outlineLevel="0" collapsed="false">
      <c r="A139" s="20" t="e">
        <f aca="false">1+A138</f>
        <v>#REF!</v>
      </c>
      <c r="B139" s="15" t="n">
        <v>415</v>
      </c>
      <c r="C139" s="15" t="s">
        <v>223</v>
      </c>
      <c r="D139" s="16" t="s">
        <v>224</v>
      </c>
      <c r="E139" s="15" t="s">
        <v>18</v>
      </c>
      <c r="F139" s="17" t="n">
        <v>105000</v>
      </c>
      <c r="G139" s="18"/>
      <c r="H139" s="19" t="str">
        <f aca="false">TRIM(D139)</f>
        <v>Fruit Apple Red US/Tao Do My</v>
      </c>
    </row>
    <row r="140" customFormat="false" ht="16.4" hidden="false" customHeight="false" outlineLevel="0" collapsed="false">
      <c r="A140" s="20" t="e">
        <f aca="false">1+A139</f>
        <v>#REF!</v>
      </c>
      <c r="B140" s="15" t="n">
        <v>402</v>
      </c>
      <c r="C140" s="15" t="s">
        <v>225</v>
      </c>
      <c r="D140" s="16" t="s">
        <v>226</v>
      </c>
      <c r="E140" s="15" t="s">
        <v>18</v>
      </c>
      <c r="F140" s="17" t="n">
        <v>100000</v>
      </c>
      <c r="G140" s="18"/>
      <c r="H140" s="19" t="str">
        <f aca="false">TRIM(D140)</f>
        <v>Fruit Apple/ TAO Gala WAF S.SIZE XX NZL size 9-10 trai/kg</v>
      </c>
    </row>
    <row r="141" customFormat="false" ht="16.4" hidden="false" customHeight="false" outlineLevel="0" collapsed="false">
      <c r="A141" s="20" t="e">
        <f aca="false">1+A140</f>
        <v>#REF!</v>
      </c>
      <c r="B141" s="15" t="n">
        <v>424</v>
      </c>
      <c r="C141" s="15" t="s">
        <v>227</v>
      </c>
      <c r="D141" s="16" t="s">
        <v>228</v>
      </c>
      <c r="E141" s="15" t="s">
        <v>18</v>
      </c>
      <c r="F141" s="17" t="n">
        <v>65000</v>
      </c>
      <c r="G141" s="18"/>
      <c r="H141" s="19" t="str">
        <f aca="false">TRIM(D141)</f>
        <v>Fruit Longan/Qua Nhan dia phuong</v>
      </c>
    </row>
    <row r="142" customFormat="false" ht="16.4" hidden="false" customHeight="false" outlineLevel="0" collapsed="false">
      <c r="A142" s="20" t="e">
        <f aca="false">1+A141</f>
        <v>#REF!</v>
      </c>
      <c r="B142" s="15" t="n">
        <v>416</v>
      </c>
      <c r="C142" s="15"/>
      <c r="D142" s="16" t="s">
        <v>229</v>
      </c>
      <c r="E142" s="15" t="s">
        <v>18</v>
      </c>
      <c r="F142" s="17" t="n">
        <v>90000</v>
      </c>
      <c r="G142" s="17"/>
      <c r="H142" s="19" t="str">
        <f aca="false">TRIM(D142)</f>
        <v>Fruit Orange Yellow Import/Cam Vang Nhap Khau</v>
      </c>
    </row>
    <row r="143" customFormat="false" ht="16.4" hidden="false" customHeight="false" outlineLevel="0" collapsed="false">
      <c r="A143" s="20" t="e">
        <f aca="false">1+A142</f>
        <v>#REF!</v>
      </c>
      <c r="B143" s="15" t="n">
        <v>401</v>
      </c>
      <c r="C143" s="15" t="s">
        <v>230</v>
      </c>
      <c r="D143" s="16" t="s">
        <v>231</v>
      </c>
      <c r="E143" s="15" t="s">
        <v>18</v>
      </c>
      <c r="F143" s="17" t="n">
        <v>30000</v>
      </c>
      <c r="G143" s="18"/>
      <c r="H143" s="19" t="str">
        <f aca="false">TRIM(D143)</f>
        <v>Fruit Plum / qua man</v>
      </c>
    </row>
    <row r="144" customFormat="false" ht="16.4" hidden="false" customHeight="false" outlineLevel="0" collapsed="false">
      <c r="A144" s="20" t="e">
        <f aca="false">1+A143</f>
        <v>#REF!</v>
      </c>
      <c r="B144" s="15" t="n">
        <v>352</v>
      </c>
      <c r="C144" s="15" t="s">
        <v>232</v>
      </c>
      <c r="D144" s="16" t="s">
        <v>233</v>
      </c>
      <c r="E144" s="15" t="s">
        <v>18</v>
      </c>
      <c r="F144" s="17" t="n">
        <v>85000</v>
      </c>
      <c r="G144" s="18"/>
      <c r="H144" s="19" t="str">
        <f aca="false">TRIM(D144)</f>
        <v>Fruit-"Thai" Rambutan/Chom Chom Thai</v>
      </c>
    </row>
    <row r="145" customFormat="false" ht="16.4" hidden="false" customHeight="false" outlineLevel="0" collapsed="false">
      <c r="A145" s="20" t="e">
        <f aca="false">1+A144</f>
        <v>#REF!</v>
      </c>
      <c r="B145" s="15" t="n">
        <v>337</v>
      </c>
      <c r="C145" s="15" t="s">
        <v>234</v>
      </c>
      <c r="D145" s="16" t="s">
        <v>235</v>
      </c>
      <c r="E145" s="15" t="s">
        <v>18</v>
      </c>
      <c r="F145" s="17" t="n">
        <v>105000</v>
      </c>
      <c r="G145" s="18"/>
      <c r="H145" s="19" t="str">
        <f aca="false">TRIM(D145)</f>
        <v>Fruit-American red Apple/Tao my do</v>
      </c>
    </row>
    <row r="146" customFormat="false" ht="16.4" hidden="false" customHeight="false" outlineLevel="0" collapsed="false">
      <c r="A146" s="20" t="e">
        <f aca="false">1+A145</f>
        <v>#REF!</v>
      </c>
      <c r="B146" s="15" t="n">
        <v>387</v>
      </c>
      <c r="C146" s="15" t="s">
        <v>236</v>
      </c>
      <c r="D146" s="16" t="s">
        <v>237</v>
      </c>
      <c r="E146" s="15" t="s">
        <v>18</v>
      </c>
      <c r="F146" s="17" t="n">
        <v>55000</v>
      </c>
      <c r="G146" s="18"/>
      <c r="H146" s="19" t="str">
        <f aca="false">TRIM(D146)</f>
        <v>Fruit-Areca banana/Chuoi Cau</v>
      </c>
    </row>
    <row r="147" customFormat="false" ht="16.4" hidden="false" customHeight="false" outlineLevel="0" collapsed="false">
      <c r="A147" s="20" t="e">
        <f aca="false">1+A146</f>
        <v>#REF!</v>
      </c>
      <c r="B147" s="15" t="n">
        <v>389</v>
      </c>
      <c r="C147" s="15" t="s">
        <v>238</v>
      </c>
      <c r="D147" s="16" t="s">
        <v>239</v>
      </c>
      <c r="E147" s="15" t="s">
        <v>18</v>
      </c>
      <c r="F147" s="17" t="n">
        <v>38000</v>
      </c>
      <c r="G147" s="18"/>
      <c r="H147" s="19" t="str">
        <f aca="false">TRIM(D147)</f>
        <v>Fruit-Aromatic banana/Chuoi Tieu</v>
      </c>
    </row>
    <row r="148" customFormat="false" ht="16.4" hidden="false" customHeight="false" outlineLevel="0" collapsed="false">
      <c r="A148" s="20" t="e">
        <f aca="false">1+A147</f>
        <v>#REF!</v>
      </c>
      <c r="B148" s="15" t="n">
        <v>349</v>
      </c>
      <c r="C148" s="15" t="s">
        <v>240</v>
      </c>
      <c r="D148" s="16" t="s">
        <v>241</v>
      </c>
      <c r="E148" s="15" t="s">
        <v>18</v>
      </c>
      <c r="F148" s="17" t="n">
        <v>85000</v>
      </c>
      <c r="G148" s="18"/>
      <c r="H148" s="19" t="str">
        <f aca="false">TRIM(D148)</f>
        <v>Fruit-Avocado/Qua Bo</v>
      </c>
    </row>
    <row r="149" customFormat="false" ht="16.4" hidden="false" customHeight="false" outlineLevel="0" collapsed="false">
      <c r="A149" s="20" t="e">
        <f aca="false">1+A148</f>
        <v>#REF!</v>
      </c>
      <c r="B149" s="15" t="n">
        <v>1779</v>
      </c>
      <c r="C149" s="15" t="s">
        <v>242</v>
      </c>
      <c r="D149" s="16" t="s">
        <v>243</v>
      </c>
      <c r="E149" s="15" t="s">
        <v>111</v>
      </c>
      <c r="F149" s="17" t="n">
        <v>260000</v>
      </c>
      <c r="G149" s="18"/>
      <c r="H149" s="19" t="str">
        <f aca="false">TRIM(D149)</f>
        <v>Fruit-Bunch of Coconut/ Dua nuoc ca buong</v>
      </c>
    </row>
    <row r="150" customFormat="false" ht="16.4" hidden="false" customHeight="false" outlineLevel="0" collapsed="false">
      <c r="A150" s="20" t="e">
        <f aca="false">1+A149</f>
        <v>#REF!</v>
      </c>
      <c r="B150" s="15" t="n">
        <v>353</v>
      </c>
      <c r="C150" s="15" t="s">
        <v>244</v>
      </c>
      <c r="D150" s="16" t="s">
        <v>245</v>
      </c>
      <c r="E150" s="15" t="s">
        <v>111</v>
      </c>
      <c r="F150" s="17" t="n">
        <v>28500</v>
      </c>
      <c r="G150" s="17"/>
      <c r="H150" s="19" t="str">
        <f aca="false">TRIM(D150)</f>
        <v>Fruit-Coconut Whole Green/ Qua Dua vo xanh</v>
      </c>
    </row>
    <row r="151" customFormat="false" ht="16.4" hidden="false" customHeight="false" outlineLevel="0" collapsed="false">
      <c r="A151" s="20" t="e">
        <f aca="false">1+A150</f>
        <v>#REF!</v>
      </c>
      <c r="B151" s="15" t="n">
        <v>354</v>
      </c>
      <c r="C151" s="15" t="s">
        <v>246</v>
      </c>
      <c r="D151" s="16" t="s">
        <v>247</v>
      </c>
      <c r="E151" s="15" t="s">
        <v>111</v>
      </c>
      <c r="F151" s="17" t="n">
        <v>28000</v>
      </c>
      <c r="G151" s="18"/>
      <c r="H151" s="19" t="str">
        <f aca="false">TRIM(D151)</f>
        <v>Fruit-Coconut Whole white/ Qua Dua vo trang</v>
      </c>
    </row>
    <row r="152" customFormat="false" ht="16.4" hidden="false" customHeight="false" outlineLevel="0" collapsed="false">
      <c r="A152" s="20" t="e">
        <f aca="false">1+A151</f>
        <v>#REF!</v>
      </c>
      <c r="B152" s="15" t="n">
        <v>343</v>
      </c>
      <c r="C152" s="15" t="s">
        <v>248</v>
      </c>
      <c r="D152" s="16" t="s">
        <v>249</v>
      </c>
      <c r="E152" s="15" t="s">
        <v>18</v>
      </c>
      <c r="F152" s="17" t="n">
        <v>44000</v>
      </c>
      <c r="G152" s="17"/>
      <c r="H152" s="19" t="str">
        <f aca="false">TRIM(D152)</f>
        <v>Fruit-Dragon Fruit Red/ Thanh Long ruot do</v>
      </c>
    </row>
    <row r="153" customFormat="false" ht="16.4" hidden="false" customHeight="false" outlineLevel="0" collapsed="false">
      <c r="A153" s="20" t="e">
        <f aca="false">1+A152</f>
        <v>#REF!</v>
      </c>
      <c r="B153" s="15" t="n">
        <v>342</v>
      </c>
      <c r="C153" s="15" t="s">
        <v>250</v>
      </c>
      <c r="D153" s="16" t="s">
        <v>251</v>
      </c>
      <c r="E153" s="15" t="s">
        <v>18</v>
      </c>
      <c r="F153" s="17" t="n">
        <v>45000</v>
      </c>
      <c r="G153" s="18"/>
      <c r="H153" s="19" t="str">
        <f aca="false">TRIM(D153)</f>
        <v>Fruit-Dragon Fruit/Thanh Long 2 Trai/kg</v>
      </c>
    </row>
    <row r="154" customFormat="false" ht="16.4" hidden="false" customHeight="false" outlineLevel="0" collapsed="false">
      <c r="A154" s="20" t="e">
        <f aca="false">1+A153</f>
        <v>#REF!</v>
      </c>
      <c r="B154" s="15" t="n">
        <v>396</v>
      </c>
      <c r="C154" s="15" t="s">
        <v>252</v>
      </c>
      <c r="D154" s="16" t="s">
        <v>253</v>
      </c>
      <c r="E154" s="15" t="s">
        <v>254</v>
      </c>
      <c r="F154" s="17" t="n">
        <v>145000</v>
      </c>
      <c r="G154" s="18"/>
      <c r="H154" s="19" t="str">
        <f aca="false">TRIM(D154)</f>
        <v>Fruit-Fresh Blueberry / Qua viet quat nguyen trai tuoi</v>
      </c>
    </row>
    <row r="155" customFormat="false" ht="16.4" hidden="false" customHeight="false" outlineLevel="0" collapsed="false">
      <c r="A155" s="20" t="e">
        <f aca="false">1+A154</f>
        <v>#REF!</v>
      </c>
      <c r="B155" s="15" t="n">
        <v>1805</v>
      </c>
      <c r="C155" s="15"/>
      <c r="D155" s="16" t="s">
        <v>255</v>
      </c>
      <c r="E155" s="15" t="s">
        <v>18</v>
      </c>
      <c r="F155" s="17" t="n">
        <v>28000</v>
      </c>
      <c r="G155" s="18"/>
      <c r="H155" s="19" t="str">
        <f aca="false">TRIM(D155)</f>
        <v>Fruit-Fresh Calamondin/ Qua tac/ qua quat</v>
      </c>
    </row>
    <row r="156" customFormat="false" ht="16.4" hidden="false" customHeight="false" outlineLevel="0" collapsed="false">
      <c r="A156" s="20" t="e">
        <f aca="false">1+A155</f>
        <v>#REF!</v>
      </c>
      <c r="B156" s="15" t="n">
        <v>459</v>
      </c>
      <c r="C156" s="15" t="s">
        <v>256</v>
      </c>
      <c r="D156" s="16" t="s">
        <v>257</v>
      </c>
      <c r="E156" s="15" t="s">
        <v>18</v>
      </c>
      <c r="F156" s="17" t="n">
        <v>88000</v>
      </c>
      <c r="G156" s="18"/>
      <c r="H156" s="19" t="str">
        <f aca="false">TRIM(D156)</f>
        <v>Fruit-Fru Avocado/Bo Sap</v>
      </c>
    </row>
    <row r="157" customFormat="false" ht="16.4" hidden="false" customHeight="false" outlineLevel="0" collapsed="false">
      <c r="A157" s="20" t="e">
        <f aca="false">1+A156</f>
        <v>#REF!</v>
      </c>
      <c r="B157" s="15" t="n">
        <v>460</v>
      </c>
      <c r="C157" s="15"/>
      <c r="D157" s="16" t="s">
        <v>258</v>
      </c>
      <c r="E157" s="15" t="s">
        <v>18</v>
      </c>
      <c r="F157" s="17" t="n">
        <v>39000</v>
      </c>
      <c r="G157" s="18"/>
      <c r="H157" s="19" t="str">
        <f aca="false">TRIM(D157)</f>
        <v>Fruit-Fru rockmelon Orange core/Yellow Skin rd/Dua Luoi Tron</v>
      </c>
    </row>
    <row r="158" customFormat="false" ht="16.4" hidden="false" customHeight="false" outlineLevel="0" collapsed="false">
      <c r="A158" s="20" t="e">
        <f aca="false">1+A157</f>
        <v>#REF!</v>
      </c>
      <c r="B158" s="15" t="n">
        <v>341</v>
      </c>
      <c r="C158" s="15" t="s">
        <v>259</v>
      </c>
      <c r="D158" s="16" t="s">
        <v>260</v>
      </c>
      <c r="E158" s="15" t="s">
        <v>18</v>
      </c>
      <c r="F158" s="17" t="n">
        <v>45000</v>
      </c>
      <c r="G158" s="17"/>
      <c r="H158" s="19" t="str">
        <f aca="false">TRIM(D158)</f>
        <v>Fruit-Grapefruit/Pomelo/Buoi Nam Roi</v>
      </c>
    </row>
    <row r="159" customFormat="false" ht="16.4" hidden="false" customHeight="false" outlineLevel="0" collapsed="false">
      <c r="A159" s="20" t="e">
        <f aca="false">1+A158</f>
        <v>#REF!</v>
      </c>
      <c r="B159" s="15" t="n">
        <v>338</v>
      </c>
      <c r="C159" s="15" t="s">
        <v>261</v>
      </c>
      <c r="D159" s="16" t="s">
        <v>262</v>
      </c>
      <c r="E159" s="15" t="s">
        <v>18</v>
      </c>
      <c r="F159" s="17" t="n">
        <v>92000</v>
      </c>
      <c r="G159" s="18"/>
      <c r="H159" s="19" t="str">
        <f aca="false">TRIM(D159)</f>
        <v>Fruit-Green Apple American /Tao xanh my 6-7 Trai/kg</v>
      </c>
    </row>
    <row r="160" customFormat="false" ht="16.4" hidden="false" customHeight="false" outlineLevel="0" collapsed="false">
      <c r="A160" s="20" t="e">
        <f aca="false">1+A159</f>
        <v>#REF!</v>
      </c>
      <c r="B160" s="15" t="n">
        <v>346</v>
      </c>
      <c r="C160" s="15" t="s">
        <v>263</v>
      </c>
      <c r="D160" s="16" t="s">
        <v>264</v>
      </c>
      <c r="E160" s="15" t="s">
        <v>18</v>
      </c>
      <c r="F160" s="17" t="n">
        <v>31000</v>
      </c>
      <c r="G160" s="18"/>
      <c r="H160" s="19" t="str">
        <f aca="false">TRIM(D160)</f>
        <v>Fruit-Green Mango/Xoai Xanh</v>
      </c>
    </row>
    <row r="161" customFormat="false" ht="16.4" hidden="false" customHeight="false" outlineLevel="0" collapsed="false">
      <c r="A161" s="20" t="e">
        <f aca="false">1+A160</f>
        <v>#REF!</v>
      </c>
      <c r="B161" s="15" t="n">
        <v>1952</v>
      </c>
      <c r="C161" s="15" t="s">
        <v>265</v>
      </c>
      <c r="D161" s="16" t="s">
        <v>266</v>
      </c>
      <c r="E161" s="15" t="s">
        <v>18</v>
      </c>
      <c r="F161" s="17" t="n">
        <v>65000</v>
      </c>
      <c r="G161" s="18"/>
      <c r="H161" s="19" t="str">
        <f aca="false">TRIM(D161)</f>
        <v>Fruit-Green Skin Pomelo/ Buoi da xanh tren 1.6kg/trai</v>
      </c>
    </row>
    <row r="162" customFormat="false" ht="16.4" hidden="false" customHeight="false" outlineLevel="0" collapsed="false">
      <c r="A162" s="20" t="e">
        <f aca="false">1+A161</f>
        <v>#REF!</v>
      </c>
      <c r="B162" s="15" t="n">
        <v>345</v>
      </c>
      <c r="C162" s="15" t="s">
        <v>267</v>
      </c>
      <c r="D162" s="16" t="s">
        <v>268</v>
      </c>
      <c r="E162" s="15" t="s">
        <v>18</v>
      </c>
      <c r="F162" s="17" t="n">
        <v>19000</v>
      </c>
      <c r="G162" s="17"/>
      <c r="H162" s="19" t="str">
        <f aca="false">TRIM(D162)</f>
        <v>Fruit-Guava/Qua Oi</v>
      </c>
    </row>
    <row r="163" customFormat="false" ht="16.4" hidden="false" customHeight="false" outlineLevel="0" collapsed="false">
      <c r="A163" s="20" t="e">
        <f aca="false">1+A162</f>
        <v>#REF!</v>
      </c>
      <c r="B163" s="15" t="n">
        <v>3721</v>
      </c>
      <c r="C163" s="15"/>
      <c r="D163" s="16" t="s">
        <v>269</v>
      </c>
      <c r="E163" s="15" t="s">
        <v>18</v>
      </c>
      <c r="F163" s="17" t="n">
        <v>80000</v>
      </c>
      <c r="G163" s="18"/>
      <c r="H163" s="19" t="str">
        <f aca="false">TRIM(D163)</f>
        <v>Fruit-Jackfruit peeled/ Mit lot vo</v>
      </c>
    </row>
    <row r="164" customFormat="false" ht="16.4" hidden="false" customHeight="false" outlineLevel="0" collapsed="false">
      <c r="A164" s="20" t="e">
        <f aca="false">1+A163</f>
        <v>#REF!</v>
      </c>
      <c r="B164" s="15" t="n">
        <v>395</v>
      </c>
      <c r="C164" s="15" t="s">
        <v>270</v>
      </c>
      <c r="D164" s="16" t="s">
        <v>271</v>
      </c>
      <c r="E164" s="15" t="s">
        <v>18</v>
      </c>
      <c r="F164" s="17" t="n">
        <v>200000</v>
      </c>
      <c r="G164" s="18"/>
      <c r="H164" s="19" t="str">
        <f aca="false">TRIM(D164)</f>
        <v>Fruit-Kiwi Green/ Qua duong dao/kiwi ruot xanh</v>
      </c>
    </row>
    <row r="165" customFormat="false" ht="16.4" hidden="false" customHeight="false" outlineLevel="0" collapsed="false">
      <c r="A165" s="20" t="e">
        <f aca="false">1+A164</f>
        <v>#REF!</v>
      </c>
      <c r="B165" s="15" t="n">
        <v>394</v>
      </c>
      <c r="C165" s="15" t="s">
        <v>272</v>
      </c>
      <c r="D165" s="16" t="s">
        <v>273</v>
      </c>
      <c r="E165" s="15" t="s">
        <v>18</v>
      </c>
      <c r="F165" s="17" t="n">
        <v>260000</v>
      </c>
      <c r="G165" s="18"/>
      <c r="H165" s="19" t="str">
        <f aca="false">TRIM(D165)</f>
        <v>Fruit-Kiwi yellow/ Qua duong dao/kiwi ruot vang</v>
      </c>
    </row>
    <row r="166" customFormat="false" ht="16.4" hidden="false" customHeight="false" outlineLevel="0" collapsed="false">
      <c r="A166" s="20" t="e">
        <f aca="false">1+A165</f>
        <v>#REF!</v>
      </c>
      <c r="B166" s="15" t="n">
        <v>390</v>
      </c>
      <c r="C166" s="15" t="s">
        <v>274</v>
      </c>
      <c r="D166" s="16" t="s">
        <v>275</v>
      </c>
      <c r="E166" s="15" t="s">
        <v>18</v>
      </c>
      <c r="F166" s="17" t="n">
        <v>54000</v>
      </c>
      <c r="G166" s="17"/>
      <c r="H166" s="19" t="str">
        <f aca="false">TRIM(D166)</f>
        <v>Fruit-Lemon/Qua Chanh Vang</v>
      </c>
    </row>
    <row r="167" customFormat="false" ht="16.4" hidden="false" customHeight="false" outlineLevel="0" collapsed="false">
      <c r="A167" s="20" t="e">
        <f aca="false">1+A166</f>
        <v>#REF!</v>
      </c>
      <c r="B167" s="15" t="n">
        <v>340</v>
      </c>
      <c r="C167" s="15" t="s">
        <v>276</v>
      </c>
      <c r="D167" s="16" t="s">
        <v>277</v>
      </c>
      <c r="E167" s="15" t="s">
        <v>18</v>
      </c>
      <c r="F167" s="17" t="n">
        <v>55000</v>
      </c>
      <c r="G167" s="18"/>
      <c r="H167" s="19" t="str">
        <f aca="false">TRIM(D167)</f>
        <v>Fruit-Mandarine Thai land/Quyt Ngot Thai Land</v>
      </c>
    </row>
    <row r="168" customFormat="false" ht="16.4" hidden="false" customHeight="false" outlineLevel="0" collapsed="false">
      <c r="A168" s="20" t="e">
        <f aca="false">1+A167</f>
        <v>#REF!</v>
      </c>
      <c r="B168" s="15" t="n">
        <v>392</v>
      </c>
      <c r="C168" s="15" t="s">
        <v>278</v>
      </c>
      <c r="D168" s="16" t="s">
        <v>279</v>
      </c>
      <c r="E168" s="15" t="s">
        <v>18</v>
      </c>
      <c r="F168" s="17" t="n">
        <v>65000</v>
      </c>
      <c r="G168" s="18"/>
      <c r="H168" s="19" t="str">
        <f aca="false">TRIM(D168)</f>
        <v>Fruit-Northern Longan/ Nhan Bac</v>
      </c>
    </row>
    <row r="169" customFormat="false" ht="16.4" hidden="false" customHeight="false" outlineLevel="0" collapsed="false">
      <c r="A169" s="20" t="e">
        <f aca="false">1+A168</f>
        <v>#REF!</v>
      </c>
      <c r="B169" s="15" t="n">
        <v>351</v>
      </c>
      <c r="C169" s="15" t="s">
        <v>280</v>
      </c>
      <c r="D169" s="16" t="s">
        <v>281</v>
      </c>
      <c r="E169" s="15" t="s">
        <v>18</v>
      </c>
      <c r="F169" s="17" t="n">
        <v>98000</v>
      </c>
      <c r="G169" s="18"/>
      <c r="H169" s="19" t="str">
        <f aca="false">TRIM(D169)</f>
        <v>Fruit-Orange America/ Cam My vang</v>
      </c>
    </row>
    <row r="170" customFormat="false" ht="16.4" hidden="false" customHeight="false" outlineLevel="0" collapsed="false">
      <c r="A170" s="20" t="e">
        <f aca="false">1+A169</f>
        <v>#REF!</v>
      </c>
      <c r="B170" s="15" t="n">
        <v>350</v>
      </c>
      <c r="C170" s="15" t="s">
        <v>282</v>
      </c>
      <c r="D170" s="16" t="s">
        <v>283</v>
      </c>
      <c r="E170" s="15" t="s">
        <v>18</v>
      </c>
      <c r="F170" s="17" t="n">
        <v>24000</v>
      </c>
      <c r="G170" s="17"/>
      <c r="H170" s="19" t="str">
        <f aca="false">TRIM(D170)</f>
        <v>Fruit-Orange/Cam Sanh</v>
      </c>
    </row>
    <row r="171" customFormat="false" ht="16.4" hidden="false" customHeight="false" outlineLevel="0" collapsed="false">
      <c r="A171" s="20" t="e">
        <f aca="false">1+A170</f>
        <v>#REF!</v>
      </c>
      <c r="B171" s="15" t="n">
        <v>355</v>
      </c>
      <c r="C171" s="15" t="s">
        <v>284</v>
      </c>
      <c r="D171" s="16" t="s">
        <v>285</v>
      </c>
      <c r="E171" s="15" t="s">
        <v>18</v>
      </c>
      <c r="F171" s="17" t="n">
        <v>39000</v>
      </c>
      <c r="G171" s="18"/>
      <c r="H171" s="19" t="str">
        <f aca="false">TRIM(D171)</f>
        <v>Fruit-Passion/Chanh day</v>
      </c>
    </row>
    <row r="172" customFormat="false" ht="16.4" hidden="false" customHeight="false" outlineLevel="0" collapsed="false">
      <c r="A172" s="20" t="e">
        <f aca="false">1+A171</f>
        <v>#REF!</v>
      </c>
      <c r="B172" s="15" t="n">
        <v>347</v>
      </c>
      <c r="C172" s="15" t="s">
        <v>286</v>
      </c>
      <c r="D172" s="16" t="s">
        <v>287</v>
      </c>
      <c r="E172" s="15" t="s">
        <v>18</v>
      </c>
      <c r="F172" s="17" t="n">
        <v>68000</v>
      </c>
      <c r="G172" s="18"/>
      <c r="H172" s="19" t="str">
        <f aca="false">TRIM(D172)</f>
        <v>Fruit-Peach/ Qua Dao</v>
      </c>
    </row>
    <row r="173" customFormat="false" ht="16.4" hidden="false" customHeight="false" outlineLevel="0" collapsed="false">
      <c r="A173" s="20" t="e">
        <f aca="false">1+A172</f>
        <v>#REF!</v>
      </c>
      <c r="B173" s="15" t="n">
        <v>2320</v>
      </c>
      <c r="C173" s="15"/>
      <c r="D173" s="16" t="s">
        <v>288</v>
      </c>
      <c r="E173" s="15" t="s">
        <v>18</v>
      </c>
      <c r="F173" s="17" t="n">
        <v>35000</v>
      </c>
      <c r="G173" s="18"/>
      <c r="H173" s="19" t="str">
        <f aca="false">TRIM(D173)</f>
        <v>Fruit-Pear/ Trai Le</v>
      </c>
    </row>
    <row r="174" customFormat="false" ht="16.4" hidden="false" customHeight="false" outlineLevel="0" collapsed="false">
      <c r="A174" s="20" t="e">
        <f aca="false">1+A173</f>
        <v>#REF!</v>
      </c>
      <c r="B174" s="15" t="n">
        <v>1806</v>
      </c>
      <c r="C174" s="15"/>
      <c r="D174" s="16" t="s">
        <v>289</v>
      </c>
      <c r="E174" s="15" t="s">
        <v>18</v>
      </c>
      <c r="F174" s="17" t="n">
        <v>60000</v>
      </c>
      <c r="G174" s="18"/>
      <c r="H174" s="19" t="str">
        <f aca="false">TRIM(D174)</f>
        <v>Fruit-Rambutan/Chom Chom thuong</v>
      </c>
    </row>
    <row r="175" customFormat="false" ht="16.4" hidden="false" customHeight="false" outlineLevel="0" collapsed="false">
      <c r="A175" s="20" t="e">
        <f aca="false">1+A174</f>
        <v>#REF!</v>
      </c>
      <c r="B175" s="15" t="n">
        <v>2404</v>
      </c>
      <c r="C175" s="15"/>
      <c r="D175" s="16" t="s">
        <v>290</v>
      </c>
      <c r="E175" s="15" t="s">
        <v>18</v>
      </c>
      <c r="F175" s="17" t="n">
        <v>90000</v>
      </c>
      <c r="G175" s="18"/>
      <c r="H175" s="19" t="str">
        <f aca="false">TRIM(D175)</f>
        <v>Fruit-Red apple New Zealand /Tao do NZ</v>
      </c>
    </row>
    <row r="176" customFormat="false" ht="16.4" hidden="false" customHeight="false" outlineLevel="0" collapsed="false">
      <c r="A176" s="20" t="e">
        <f aca="false">1+A175</f>
        <v>#REF!</v>
      </c>
      <c r="B176" s="15" t="n">
        <v>2974</v>
      </c>
      <c r="C176" s="15"/>
      <c r="D176" s="16" t="s">
        <v>291</v>
      </c>
      <c r="E176" s="15" t="s">
        <v>18</v>
      </c>
      <c r="F176" s="17" t="n">
        <v>220000</v>
      </c>
      <c r="G176" s="18"/>
      <c r="H176" s="19" t="str">
        <f aca="false">TRIM(D176)</f>
        <v>Fruit-Red Grape American/Nho My do</v>
      </c>
    </row>
    <row r="177" customFormat="false" ht="16.4" hidden="false" customHeight="false" outlineLevel="0" collapsed="false">
      <c r="A177" s="20" t="e">
        <f aca="false">1+A176</f>
        <v>#REF!</v>
      </c>
      <c r="B177" s="15" t="n">
        <v>391</v>
      </c>
      <c r="C177" s="15" t="s">
        <v>292</v>
      </c>
      <c r="D177" s="16" t="s">
        <v>293</v>
      </c>
      <c r="E177" s="15" t="s">
        <v>18</v>
      </c>
      <c r="F177" s="17" t="n">
        <v>60000</v>
      </c>
      <c r="G177" s="18"/>
      <c r="H177" s="19" t="str">
        <f aca="false">TRIM(D177)</f>
        <v>Fruit-Red plum/ Qua man do</v>
      </c>
    </row>
    <row r="178" customFormat="false" ht="16.4" hidden="false" customHeight="false" outlineLevel="0" collapsed="false">
      <c r="A178" s="20" t="e">
        <f aca="false">1+A177</f>
        <v>#REF!</v>
      </c>
      <c r="B178" s="15" t="n">
        <v>1781</v>
      </c>
      <c r="C178" s="15"/>
      <c r="D178" s="16" t="s">
        <v>294</v>
      </c>
      <c r="E178" s="15" t="s">
        <v>18</v>
      </c>
      <c r="F178" s="17" t="n">
        <v>55000</v>
      </c>
      <c r="G178" s="18"/>
      <c r="H178" s="19" t="str">
        <f aca="false">TRIM(D178)</f>
        <v>Fruit-Sapa crispy peaches/ Dao gion Sapa</v>
      </c>
    </row>
    <row r="179" customFormat="false" ht="16.4" hidden="false" customHeight="false" outlineLevel="0" collapsed="false">
      <c r="A179" s="20" t="e">
        <f aca="false">1+A178</f>
        <v>#REF!</v>
      </c>
      <c r="B179" s="15" t="n">
        <v>388</v>
      </c>
      <c r="C179" s="15" t="s">
        <v>295</v>
      </c>
      <c r="D179" s="16" t="s">
        <v>296</v>
      </c>
      <c r="E179" s="15" t="s">
        <v>18</v>
      </c>
      <c r="F179" s="17" t="n">
        <v>35000</v>
      </c>
      <c r="G179" s="18"/>
      <c r="H179" s="19" t="str">
        <f aca="false">TRIM(D179)</f>
        <v>Fruit-Siamese banana/Chuoi su</v>
      </c>
    </row>
    <row r="180" customFormat="false" ht="16.4" hidden="false" customHeight="false" outlineLevel="0" collapsed="false">
      <c r="A180" s="20" t="e">
        <f aca="false">1+A179</f>
        <v>#REF!</v>
      </c>
      <c r="B180" s="15" t="n">
        <v>397</v>
      </c>
      <c r="C180" s="15" t="s">
        <v>297</v>
      </c>
      <c r="D180" s="16" t="s">
        <v>298</v>
      </c>
      <c r="E180" s="15" t="s">
        <v>18</v>
      </c>
      <c r="F180" s="17" t="n">
        <v>24000</v>
      </c>
      <c r="G180" s="18"/>
      <c r="H180" s="19" t="str">
        <f aca="false">TRIM(D180)</f>
        <v>Fruit-Watermelon no seed/Dua Hau Do ko hat Tren 2.5kg/Trai</v>
      </c>
    </row>
    <row r="181" customFormat="false" ht="16.4" hidden="false" customHeight="false" outlineLevel="0" collapsed="false">
      <c r="A181" s="20" t="e">
        <f aca="false">1+A180</f>
        <v>#REF!</v>
      </c>
      <c r="B181" s="15" t="n">
        <v>344</v>
      </c>
      <c r="C181" s="15" t="s">
        <v>299</v>
      </c>
      <c r="D181" s="16" t="s">
        <v>300</v>
      </c>
      <c r="E181" s="15" t="s">
        <v>18</v>
      </c>
      <c r="F181" s="17" t="n">
        <v>13500</v>
      </c>
      <c r="G181" s="18"/>
      <c r="H181" s="19" t="str">
        <f aca="false">TRIM(D181)</f>
        <v>Fruit-Watermelon/Dua Hau Do Tren 2.5kg/ Trai</v>
      </c>
    </row>
    <row r="182" customFormat="false" ht="16.4" hidden="false" customHeight="false" outlineLevel="0" collapsed="false">
      <c r="A182" s="20" t="e">
        <f aca="false">1+A181</f>
        <v>#REF!</v>
      </c>
      <c r="B182" s="15" t="n">
        <v>393</v>
      </c>
      <c r="C182" s="15" t="s">
        <v>301</v>
      </c>
      <c r="D182" s="16" t="s">
        <v>302</v>
      </c>
      <c r="E182" s="15" t="s">
        <v>18</v>
      </c>
      <c r="F182" s="17" t="n">
        <v>21000</v>
      </c>
      <c r="G182" s="18"/>
      <c r="H182" s="19" t="str">
        <f aca="false">TRIM(D182)</f>
        <v>Fruit-Whole Pineapple/ Thom nguyen trai</v>
      </c>
    </row>
    <row r="183" customFormat="false" ht="16.4" hidden="false" customHeight="false" outlineLevel="0" collapsed="false">
      <c r="A183" s="20" t="e">
        <f aca="false">1+A182</f>
        <v>#REF!</v>
      </c>
      <c r="B183" s="15" t="n">
        <v>519</v>
      </c>
      <c r="C183" s="15"/>
      <c r="D183" s="16" t="s">
        <v>303</v>
      </c>
      <c r="E183" s="15" t="s">
        <v>72</v>
      </c>
      <c r="F183" s="17" t="n">
        <v>737000</v>
      </c>
      <c r="G183" s="18"/>
      <c r="H183" s="19" t="str">
        <f aca="false">TRIM(D183)</f>
        <v>Golden farm peanut butter 5kg/ bo dau phong golden farm 5kg</v>
      </c>
    </row>
    <row r="184" customFormat="false" ht="16.4" hidden="false" customHeight="false" outlineLevel="0" collapsed="false">
      <c r="A184" s="20" t="e">
        <f aca="false">1+A183</f>
        <v>#REF!</v>
      </c>
      <c r="B184" s="15" t="n">
        <v>2117</v>
      </c>
      <c r="C184" s="15"/>
      <c r="D184" s="16" t="s">
        <v>304</v>
      </c>
      <c r="E184" s="15" t="s">
        <v>18</v>
      </c>
      <c r="F184" s="17" t="n">
        <v>103000</v>
      </c>
      <c r="G184" s="18"/>
      <c r="H184" s="19" t="str">
        <f aca="false">TRIM(D184)</f>
        <v>Grilled fish mixed with squid/ Cha ca pha muc ĐL</v>
      </c>
    </row>
    <row r="185" customFormat="false" ht="16.4" hidden="false" customHeight="false" outlineLevel="0" collapsed="false">
      <c r="A185" s="20" t="e">
        <f aca="false">1+A184</f>
        <v>#REF!</v>
      </c>
      <c r="B185" s="15" t="n">
        <v>2402</v>
      </c>
      <c r="C185" s="15"/>
      <c r="D185" s="16" t="s">
        <v>305</v>
      </c>
      <c r="E185" s="15" t="s">
        <v>18</v>
      </c>
      <c r="F185" s="17" t="n">
        <v>18000</v>
      </c>
      <c r="G185" s="18"/>
      <c r="H185" s="19" t="str">
        <f aca="false">TRIM(D185)</f>
        <v>Ground galangal root/ Cu rieng xay</v>
      </c>
    </row>
    <row r="186" customFormat="false" ht="16.4" hidden="false" customHeight="false" outlineLevel="0" collapsed="false">
      <c r="A186" s="20" t="e">
        <f aca="false">1+A185</f>
        <v>#REF!</v>
      </c>
      <c r="B186" s="15" t="n">
        <v>1787</v>
      </c>
      <c r="C186" s="15"/>
      <c r="D186" s="16" t="s">
        <v>306</v>
      </c>
      <c r="E186" s="15" t="s">
        <v>111</v>
      </c>
      <c r="F186" s="17" t="n">
        <v>5000</v>
      </c>
      <c r="G186" s="18"/>
      <c r="H186" s="19" t="str">
        <f aca="false">TRIM(D186)</f>
        <v>Hao hao Shrimp noodles/ My tom hao hao</v>
      </c>
    </row>
    <row r="187" customFormat="false" ht="16.4" hidden="false" customHeight="false" outlineLevel="0" collapsed="false">
      <c r="A187" s="20" t="e">
        <f aca="false">1+A186</f>
        <v>#REF!</v>
      </c>
      <c r="B187" s="15" t="n">
        <v>399</v>
      </c>
      <c r="C187" s="15" t="s">
        <v>307</v>
      </c>
      <c r="D187" s="16" t="s">
        <v>308</v>
      </c>
      <c r="E187" s="15" t="s">
        <v>18</v>
      </c>
      <c r="F187" s="17" t="n">
        <v>49000</v>
      </c>
      <c r="G187" s="18"/>
      <c r="H187" s="19" t="str">
        <f aca="false">TRIM(D187)</f>
        <v>Jackfruit / Mit Thai nguyen trai 3-5kg</v>
      </c>
    </row>
    <row r="188" customFormat="false" ht="16.4" hidden="false" customHeight="false" outlineLevel="0" collapsed="false">
      <c r="A188" s="20" t="e">
        <f aca="false">1+A187</f>
        <v>#REF!</v>
      </c>
      <c r="B188" s="15" t="n">
        <v>2868</v>
      </c>
      <c r="C188" s="15"/>
      <c r="D188" s="16" t="s">
        <v>309</v>
      </c>
      <c r="E188" s="15" t="s">
        <v>18</v>
      </c>
      <c r="F188" s="17" t="n">
        <v>110000</v>
      </c>
      <c r="G188" s="18"/>
      <c r="H188" s="19" t="str">
        <f aca="false">TRIM(D188)</f>
        <v>Japanese bonito/ Ca thu Nhat</v>
      </c>
    </row>
    <row r="189" customFormat="false" ht="16.4" hidden="false" customHeight="false" outlineLevel="0" collapsed="false">
      <c r="A189" s="20" t="e">
        <f aca="false">1+A188</f>
        <v>#REF!</v>
      </c>
      <c r="B189" s="15" t="n">
        <v>517</v>
      </c>
      <c r="C189" s="15"/>
      <c r="D189" s="16" t="s">
        <v>310</v>
      </c>
      <c r="E189" s="15" t="s">
        <v>111</v>
      </c>
      <c r="F189" s="17" t="n">
        <v>4600</v>
      </c>
      <c r="G189" s="18"/>
      <c r="H189" s="19" t="str">
        <f aca="false">TRIM(D189)</f>
        <v>Jelly alcohol/ Thach con</v>
      </c>
    </row>
    <row r="190" customFormat="false" ht="16.4" hidden="false" customHeight="false" outlineLevel="0" collapsed="false">
      <c r="A190" s="20" t="e">
        <f aca="false">1+A189</f>
        <v>#REF!</v>
      </c>
      <c r="B190" s="15" t="n">
        <v>441</v>
      </c>
      <c r="C190" s="15"/>
      <c r="D190" s="16" t="s">
        <v>311</v>
      </c>
      <c r="E190" s="15" t="s">
        <v>18</v>
      </c>
      <c r="F190" s="17" t="n">
        <v>30000</v>
      </c>
      <c r="G190" s="18"/>
      <c r="H190" s="19" t="str">
        <f aca="false">TRIM(D190)</f>
        <v>Jelly Fish / Sua bien</v>
      </c>
    </row>
    <row r="191" customFormat="false" ht="16.4" hidden="false" customHeight="false" outlineLevel="0" collapsed="false">
      <c r="A191" s="20" t="e">
        <f aca="false">1+A190</f>
        <v>#REF!</v>
      </c>
      <c r="B191" s="15" t="n">
        <v>2102</v>
      </c>
      <c r="C191" s="15"/>
      <c r="D191" s="16" t="s">
        <v>312</v>
      </c>
      <c r="E191" s="15" t="s">
        <v>70</v>
      </c>
      <c r="F191" s="17" t="n">
        <v>198000</v>
      </c>
      <c r="G191" s="18"/>
      <c r="H191" s="19" t="str">
        <f aca="false">TRIM(D191)</f>
        <v>Kewpie roasted sesame sauce 1L/ Sot me rang kewpie 1L</v>
      </c>
    </row>
    <row r="192" customFormat="false" ht="16.4" hidden="false" customHeight="false" outlineLevel="0" collapsed="false">
      <c r="A192" s="20" t="e">
        <f aca="false">1+A191</f>
        <v>#REF!</v>
      </c>
      <c r="B192" s="15" t="n">
        <v>3722</v>
      </c>
      <c r="C192" s="15"/>
      <c r="D192" s="16" t="s">
        <v>313</v>
      </c>
      <c r="E192" s="15" t="s">
        <v>111</v>
      </c>
      <c r="F192" s="17" t="n">
        <v>4200</v>
      </c>
      <c r="G192" s="18"/>
      <c r="H192" s="19" t="str">
        <f aca="false">TRIM(D192)</f>
        <v>Lavie water 500ml/ Lavie chai nhua 500ml</v>
      </c>
    </row>
    <row r="193" customFormat="false" ht="16.4" hidden="false" customHeight="false" outlineLevel="0" collapsed="false">
      <c r="A193" s="20" t="e">
        <f aca="false">1+A192</f>
        <v>#REF!</v>
      </c>
      <c r="B193" s="15" t="n">
        <v>168</v>
      </c>
      <c r="C193" s="15" t="s">
        <v>314</v>
      </c>
      <c r="D193" s="16" t="s">
        <v>315</v>
      </c>
      <c r="E193" s="15" t="s">
        <v>18</v>
      </c>
      <c r="F193" s="17" t="n">
        <v>138000</v>
      </c>
      <c r="G193" s="17"/>
      <c r="H193" s="19" t="str">
        <f aca="false">TRIM(D193)</f>
        <v>Lean pork paste/Gio Lua</v>
      </c>
    </row>
    <row r="194" customFormat="false" ht="16.4" hidden="false" customHeight="false" outlineLevel="0" collapsed="false">
      <c r="A194" s="20" t="e">
        <f aca="false">1+A193</f>
        <v>#REF!</v>
      </c>
      <c r="B194" s="15" t="n">
        <v>419</v>
      </c>
      <c r="C194" s="15" t="s">
        <v>316</v>
      </c>
      <c r="D194" s="16" t="s">
        <v>317</v>
      </c>
      <c r="E194" s="15" t="s">
        <v>18</v>
      </c>
      <c r="F194" s="17" t="n">
        <v>52000</v>
      </c>
      <c r="G194" s="18"/>
      <c r="H194" s="19" t="str">
        <f aca="false">TRIM(D194)</f>
        <v>Lime No Seed Local/ Chanh khong hat</v>
      </c>
    </row>
    <row r="195" customFormat="false" ht="16.4" hidden="false" customHeight="false" outlineLevel="0" collapsed="false">
      <c r="A195" s="20" t="e">
        <f aca="false">1+A194</f>
        <v>#REF!</v>
      </c>
      <c r="B195" s="15" t="n">
        <v>2833</v>
      </c>
      <c r="C195" s="15"/>
      <c r="D195" s="16" t="s">
        <v>318</v>
      </c>
      <c r="E195" s="15" t="s">
        <v>18</v>
      </c>
      <c r="F195" s="17" t="n">
        <v>29000</v>
      </c>
      <c r="G195" s="18"/>
      <c r="H195" s="19" t="str">
        <f aca="false">TRIM(D195)</f>
        <v>Lime/ Chanh co hat</v>
      </c>
    </row>
    <row r="196" customFormat="false" ht="16.4" hidden="false" customHeight="false" outlineLevel="0" collapsed="false">
      <c r="A196" s="20" t="e">
        <f aca="false">1+A195</f>
        <v>#REF!</v>
      </c>
      <c r="B196" s="15" t="n">
        <v>475</v>
      </c>
      <c r="C196" s="15"/>
      <c r="D196" s="16" t="s">
        <v>319</v>
      </c>
      <c r="E196" s="15" t="s">
        <v>320</v>
      </c>
      <c r="F196" s="17" t="n">
        <v>17000</v>
      </c>
      <c r="G196" s="18"/>
      <c r="H196" s="19" t="str">
        <f aca="false">TRIM(D196)</f>
        <v>Loyal white vinegar Trung Thanh 500 ml/ Giam trang Trung Tha</v>
      </c>
    </row>
    <row r="197" customFormat="false" ht="16.4" hidden="false" customHeight="false" outlineLevel="0" collapsed="false">
      <c r="A197" s="20" t="e">
        <f aca="false">1+A196</f>
        <v>#REF!</v>
      </c>
      <c r="B197" s="15" t="n">
        <v>2452</v>
      </c>
      <c r="C197" s="15"/>
      <c r="D197" s="16" t="s">
        <v>321</v>
      </c>
      <c r="E197" s="15" t="s">
        <v>18</v>
      </c>
      <c r="F197" s="17" t="n">
        <v>53000</v>
      </c>
      <c r="G197" s="18"/>
      <c r="H197" s="19" t="str">
        <f aca="false">TRIM(D197)</f>
        <v>Mango/ Xoai chin mo qua</v>
      </c>
    </row>
    <row r="198" customFormat="false" ht="16.4" hidden="false" customHeight="false" outlineLevel="0" collapsed="false">
      <c r="A198" s="20" t="e">
        <f aca="false">1+A197</f>
        <v>#REF!</v>
      </c>
      <c r="B198" s="15" t="n">
        <v>523</v>
      </c>
      <c r="C198" s="15"/>
      <c r="D198" s="16" t="s">
        <v>322</v>
      </c>
      <c r="E198" s="15" t="s">
        <v>323</v>
      </c>
      <c r="F198" s="17" t="n">
        <v>880000</v>
      </c>
      <c r="G198" s="18"/>
      <c r="H198" s="19" t="str">
        <f aca="false">TRIM(D198)</f>
        <v>Matcha green tea powder 500gr/ bot tra xanh matcha 500gr</v>
      </c>
    </row>
    <row r="199" customFormat="false" ht="16.4" hidden="false" customHeight="false" outlineLevel="0" collapsed="false">
      <c r="A199" s="20" t="e">
        <f aca="false">1+A198</f>
        <v>#REF!</v>
      </c>
      <c r="B199" s="15" t="n">
        <v>2863</v>
      </c>
      <c r="C199" s="15"/>
      <c r="D199" s="16" t="s">
        <v>324</v>
      </c>
      <c r="E199" s="15" t="s">
        <v>18</v>
      </c>
      <c r="F199" s="17" t="n">
        <v>140000</v>
      </c>
      <c r="G199" s="18"/>
      <c r="H199" s="19" t="str">
        <f aca="false">TRIM(D199)</f>
        <v>meat mushroom soup/ Moc nam thit</v>
      </c>
    </row>
    <row r="200" customFormat="false" ht="16.4" hidden="false" customHeight="false" outlineLevel="0" collapsed="false">
      <c r="A200" s="20" t="e">
        <f aca="false">1+A199</f>
        <v>#REF!</v>
      </c>
      <c r="B200" s="15" t="n">
        <v>2828</v>
      </c>
      <c r="C200" s="15"/>
      <c r="D200" s="16" t="s">
        <v>325</v>
      </c>
      <c r="E200" s="15" t="s">
        <v>18</v>
      </c>
      <c r="F200" s="17" t="n">
        <v>50000</v>
      </c>
      <c r="G200" s="18"/>
      <c r="H200" s="19" t="str">
        <f aca="false">TRIM(D200)</f>
        <v>Mugwort/ Ngai Cuu</v>
      </c>
    </row>
    <row r="201" customFormat="false" ht="16.4" hidden="false" customHeight="false" outlineLevel="0" collapsed="false">
      <c r="A201" s="20" t="e">
        <f aca="false">1+A200</f>
        <v>#REF!</v>
      </c>
      <c r="B201" s="15" t="n">
        <v>333</v>
      </c>
      <c r="C201" s="15" t="s">
        <v>326</v>
      </c>
      <c r="D201" s="16" t="s">
        <v>327</v>
      </c>
      <c r="E201" s="15" t="s">
        <v>18</v>
      </c>
      <c r="F201" s="17" t="n">
        <v>48000</v>
      </c>
      <c r="G201" s="17"/>
      <c r="H201" s="19" t="str">
        <f aca="false">TRIM(D201)</f>
        <v>Mung bean / Dau xanh Con Vo</v>
      </c>
    </row>
    <row r="202" customFormat="false" ht="16.4" hidden="false" customHeight="false" outlineLevel="0" collapsed="false">
      <c r="A202" s="20" t="e">
        <f aca="false">1+A201</f>
        <v>#REF!</v>
      </c>
      <c r="B202" s="15" t="n">
        <v>1956</v>
      </c>
      <c r="C202" s="15"/>
      <c r="D202" s="16" t="s">
        <v>328</v>
      </c>
      <c r="E202" s="15" t="s">
        <v>18</v>
      </c>
      <c r="F202" s="17" t="n">
        <v>43000</v>
      </c>
      <c r="G202" s="18"/>
      <c r="H202" s="19" t="str">
        <f aca="false">TRIM(D202)</f>
        <v>Mushy tamarind/ Me nhao</v>
      </c>
    </row>
    <row r="203" customFormat="false" ht="16.4" hidden="false" customHeight="false" outlineLevel="0" collapsed="false">
      <c r="A203" s="20" t="e">
        <f aca="false">1+A202</f>
        <v>#REF!</v>
      </c>
      <c r="B203" s="15" t="n">
        <v>373</v>
      </c>
      <c r="C203" s="15" t="s">
        <v>329</v>
      </c>
      <c r="D203" s="16" t="s">
        <v>330</v>
      </c>
      <c r="E203" s="15" t="s">
        <v>18</v>
      </c>
      <c r="F203" s="17" t="n">
        <v>198000</v>
      </c>
      <c r="G203" s="18"/>
      <c r="H203" s="19" t="str">
        <f aca="false">TRIM(D203)</f>
        <v>Octopus 200g-250gr / Bach tuoc 200g-250gr</v>
      </c>
    </row>
    <row r="204" customFormat="false" ht="16.4" hidden="false" customHeight="false" outlineLevel="0" collapsed="false">
      <c r="A204" s="20" t="e">
        <f aca="false">1+A203</f>
        <v>#REF!</v>
      </c>
      <c r="B204" s="15" t="n">
        <v>2755</v>
      </c>
      <c r="C204" s="15"/>
      <c r="D204" s="16" t="s">
        <v>331</v>
      </c>
      <c r="E204" s="15" t="s">
        <v>111</v>
      </c>
      <c r="F204" s="17" t="n">
        <v>27000</v>
      </c>
      <c r="G204" s="17"/>
      <c r="H204" s="19" t="str">
        <f aca="false">TRIM(D204)</f>
        <v>Pate Cot Den 150gr/ box</v>
      </c>
    </row>
    <row r="205" customFormat="false" ht="16.4" hidden="false" customHeight="false" outlineLevel="0" collapsed="false">
      <c r="A205" s="20" t="e">
        <f aca="false">1+A204</f>
        <v>#REF!</v>
      </c>
      <c r="B205" s="15" t="n">
        <v>2406</v>
      </c>
      <c r="C205" s="15"/>
      <c r="D205" s="16" t="s">
        <v>332</v>
      </c>
      <c r="E205" s="15" t="s">
        <v>18</v>
      </c>
      <c r="F205" s="17" t="n">
        <v>130000</v>
      </c>
      <c r="G205" s="18"/>
      <c r="H205" s="19" t="str">
        <f aca="false">TRIM(D205)</f>
        <v>Pear-AU/ Trai Le Uc</v>
      </c>
    </row>
    <row r="206" customFormat="false" ht="16.4" hidden="false" customHeight="false" outlineLevel="0" collapsed="false">
      <c r="A206" s="20" t="e">
        <f aca="false">1+A205</f>
        <v>#REF!</v>
      </c>
      <c r="B206" s="15" t="n">
        <v>477</v>
      </c>
      <c r="C206" s="15"/>
      <c r="D206" s="16" t="s">
        <v>333</v>
      </c>
      <c r="E206" s="15" t="s">
        <v>334</v>
      </c>
      <c r="F206" s="17" t="n">
        <v>70000</v>
      </c>
      <c r="G206" s="18"/>
      <c r="H206" s="19" t="str">
        <f aca="false">TRIM(D206)</f>
        <v>Perfect condensed milk 1284gr/ Sua dac ngoi sao phương nam x</v>
      </c>
    </row>
    <row r="207" customFormat="false" ht="16.4" hidden="false" customHeight="false" outlineLevel="0" collapsed="false">
      <c r="A207" s="20" t="e">
        <f aca="false">1+A206</f>
        <v>#REF!</v>
      </c>
      <c r="B207" s="15" t="n">
        <v>2100</v>
      </c>
      <c r="C207" s="15"/>
      <c r="D207" s="16" t="s">
        <v>335</v>
      </c>
      <c r="E207" s="15" t="s">
        <v>336</v>
      </c>
      <c r="F207" s="17" t="n">
        <v>45000</v>
      </c>
      <c r="G207" s="18"/>
      <c r="H207" s="19" t="str">
        <f aca="false">TRIM(D207)</f>
        <v>Phu Huong vermicelli 210g/Mien phu huong 210g</v>
      </c>
    </row>
    <row r="208" customFormat="false" ht="16.4" hidden="false" customHeight="false" outlineLevel="0" collapsed="false">
      <c r="A208" s="20" t="e">
        <f aca="false">1+A207</f>
        <v>#REF!</v>
      </c>
      <c r="B208" s="15" t="n">
        <v>526</v>
      </c>
      <c r="C208" s="15"/>
      <c r="D208" s="16" t="s">
        <v>337</v>
      </c>
      <c r="E208" s="15" t="s">
        <v>54</v>
      </c>
      <c r="F208" s="17" t="n">
        <v>1045000</v>
      </c>
      <c r="G208" s="18"/>
      <c r="H208" s="19" t="str">
        <f aca="false">TRIM(D208)</f>
        <v>Pistachio Kernels 1KG/ Nhan hat de cuoi 1KG</v>
      </c>
    </row>
    <row r="209" customFormat="false" ht="16.4" hidden="false" customHeight="false" outlineLevel="0" collapsed="false">
      <c r="A209" s="20" t="e">
        <f aca="false">1+A208</f>
        <v>#REF!</v>
      </c>
      <c r="B209" s="15" t="n">
        <v>201</v>
      </c>
      <c r="C209" s="15" t="s">
        <v>338</v>
      </c>
      <c r="D209" s="16" t="s">
        <v>339</v>
      </c>
      <c r="E209" s="15" t="s">
        <v>18</v>
      </c>
      <c r="F209" s="17" t="n">
        <v>130000</v>
      </c>
      <c r="G209" s="18"/>
      <c r="H209" s="19" t="str">
        <f aca="false">TRIM(D209)</f>
        <v>Pork Belly Boneless / Ba roi heo rut xuong co da DL</v>
      </c>
    </row>
    <row r="210" customFormat="false" ht="16.4" hidden="false" customHeight="false" outlineLevel="0" collapsed="false">
      <c r="A210" s="20" t="e">
        <f aca="false">1+A209</f>
        <v>#REF!</v>
      </c>
      <c r="B210" s="15" t="n">
        <v>198</v>
      </c>
      <c r="C210" s="15" t="s">
        <v>340</v>
      </c>
      <c r="D210" s="16" t="s">
        <v>341</v>
      </c>
      <c r="E210" s="15" t="s">
        <v>18</v>
      </c>
      <c r="F210" s="17" t="n">
        <v>143000</v>
      </c>
      <c r="G210" s="18"/>
      <c r="H210" s="19" t="str">
        <f aca="false">TRIM(D210)</f>
        <v>Pork Belly/ Thit Ba Roi</v>
      </c>
    </row>
    <row r="211" customFormat="false" ht="16.4" hidden="false" customHeight="false" outlineLevel="0" collapsed="false">
      <c r="A211" s="20" t="e">
        <f aca="false">1+A210</f>
        <v>#REF!</v>
      </c>
      <c r="B211" s="15" t="n">
        <v>186</v>
      </c>
      <c r="C211" s="15" t="s">
        <v>342</v>
      </c>
      <c r="D211" s="16" t="s">
        <v>343</v>
      </c>
      <c r="E211" s="15" t="s">
        <v>18</v>
      </c>
      <c r="F211" s="17" t="n">
        <v>32000</v>
      </c>
      <c r="G211" s="18"/>
      <c r="H211" s="19" t="str">
        <f aca="false">TRIM(D211)</f>
        <v>Pork Bone/Xuong ong heo</v>
      </c>
    </row>
    <row r="212" customFormat="false" ht="16.4" hidden="false" customHeight="false" outlineLevel="0" collapsed="false">
      <c r="A212" s="20" t="e">
        <f aca="false">1+A211</f>
        <v>#REF!</v>
      </c>
      <c r="B212" s="15" t="n">
        <v>2861</v>
      </c>
      <c r="C212" s="15"/>
      <c r="D212" s="16" t="s">
        <v>344</v>
      </c>
      <c r="E212" s="15" t="s">
        <v>18</v>
      </c>
      <c r="F212" s="17" t="n">
        <v>155000</v>
      </c>
      <c r="G212" s="18"/>
      <c r="H212" s="19" t="str">
        <f aca="false">TRIM(D212)</f>
        <v>pork ear sausage/ Gio tai</v>
      </c>
    </row>
    <row r="213" customFormat="false" ht="16.4" hidden="false" customHeight="false" outlineLevel="0" collapsed="false">
      <c r="A213" s="20" t="e">
        <f aca="false">1+A212</f>
        <v>#REF!</v>
      </c>
      <c r="B213" s="15" t="n">
        <v>2112</v>
      </c>
      <c r="C213" s="15"/>
      <c r="D213" s="16" t="s">
        <v>345</v>
      </c>
      <c r="E213" s="15" t="s">
        <v>18</v>
      </c>
      <c r="F213" s="17" t="n">
        <v>135000</v>
      </c>
      <c r="G213" s="18"/>
      <c r="H213" s="19" t="str">
        <f aca="false">TRIM(D213)</f>
        <v>Pork ears/ Tai heo</v>
      </c>
    </row>
    <row r="214" customFormat="false" ht="16.4" hidden="false" customHeight="false" outlineLevel="0" collapsed="false">
      <c r="A214" s="20" t="e">
        <f aca="false">1+A213</f>
        <v>#REF!</v>
      </c>
      <c r="B214" s="15" t="n">
        <v>200</v>
      </c>
      <c r="C214" s="15" t="s">
        <v>346</v>
      </c>
      <c r="D214" s="16" t="s">
        <v>347</v>
      </c>
      <c r="E214" s="15" t="s">
        <v>18</v>
      </c>
      <c r="F214" s="17" t="n">
        <v>65000</v>
      </c>
      <c r="G214" s="18"/>
      <c r="H214" s="19" t="str">
        <f aca="false">TRIM(D214)</f>
        <v>Pork fat/ Mo heo</v>
      </c>
    </row>
    <row r="215" customFormat="false" ht="16.4" hidden="false" customHeight="false" outlineLevel="0" collapsed="false">
      <c r="A215" s="20" t="e">
        <f aca="false">1+A214</f>
        <v>#REF!</v>
      </c>
      <c r="B215" s="15" t="n">
        <v>188</v>
      </c>
      <c r="C215" s="15" t="s">
        <v>348</v>
      </c>
      <c r="D215" s="16" t="s">
        <v>349</v>
      </c>
      <c r="E215" s="15" t="s">
        <v>18</v>
      </c>
      <c r="F215" s="17" t="n">
        <v>85000</v>
      </c>
      <c r="G215" s="17"/>
      <c r="H215" s="19" t="str">
        <f aca="false">TRIM(D215)</f>
        <v>Pork Knuckled / Mong gio heo DL</v>
      </c>
    </row>
    <row r="216" customFormat="false" ht="16.4" hidden="false" customHeight="false" outlineLevel="0" collapsed="false">
      <c r="A216" s="20" t="e">
        <f aca="false">1+A215</f>
        <v>#REF!</v>
      </c>
      <c r="B216" s="15" t="n">
        <v>187</v>
      </c>
      <c r="C216" s="15" t="s">
        <v>350</v>
      </c>
      <c r="D216" s="16" t="s">
        <v>351</v>
      </c>
      <c r="E216" s="15" t="s">
        <v>18</v>
      </c>
      <c r="F216" s="17" t="n">
        <v>85000</v>
      </c>
      <c r="G216" s="18"/>
      <c r="H216" s="19" t="str">
        <f aca="false">TRIM(D216)</f>
        <v>Pork Knuckled/Mong Gio heo</v>
      </c>
    </row>
    <row r="217" customFormat="false" ht="16.4" hidden="false" customHeight="false" outlineLevel="0" collapsed="false">
      <c r="A217" s="20" t="e">
        <f aca="false">1+A216</f>
        <v>#REF!</v>
      </c>
      <c r="B217" s="15" t="n">
        <v>190</v>
      </c>
      <c r="C217" s="15" t="s">
        <v>352</v>
      </c>
      <c r="D217" s="16" t="s">
        <v>353</v>
      </c>
      <c r="E217" s="15" t="s">
        <v>18</v>
      </c>
      <c r="F217" s="17" t="n">
        <v>82000</v>
      </c>
      <c r="G217" s="18"/>
      <c r="H217" s="19" t="str">
        <f aca="false">TRIM(D217)</f>
        <v>Pork Leg Natural/Chan Gio Heo Nguyen Cai</v>
      </c>
    </row>
    <row r="218" customFormat="false" ht="16.4" hidden="false" customHeight="false" outlineLevel="0" collapsed="false">
      <c r="A218" s="20" t="e">
        <f aca="false">1+A217</f>
        <v>#REF!</v>
      </c>
      <c r="B218" s="15" t="n">
        <v>192</v>
      </c>
      <c r="C218" s="15" t="s">
        <v>354</v>
      </c>
      <c r="D218" s="16" t="s">
        <v>355</v>
      </c>
      <c r="E218" s="15" t="s">
        <v>18</v>
      </c>
      <c r="F218" s="17" t="n">
        <v>105000</v>
      </c>
      <c r="G218" s="18"/>
      <c r="H218" s="19" t="str">
        <f aca="false">TRIM(D218)</f>
        <v>Pork Leg/ Nac dui Heo</v>
      </c>
    </row>
    <row r="219" customFormat="false" ht="16.4" hidden="false" customHeight="false" outlineLevel="0" collapsed="false">
      <c r="A219" s="20" t="e">
        <f aca="false">1+A218</f>
        <v>#REF!</v>
      </c>
      <c r="B219" s="15" t="n">
        <v>189</v>
      </c>
      <c r="C219" s="15" t="s">
        <v>356</v>
      </c>
      <c r="D219" s="16" t="s">
        <v>357</v>
      </c>
      <c r="E219" s="15" t="s">
        <v>18</v>
      </c>
      <c r="F219" s="17" t="n">
        <v>120000</v>
      </c>
      <c r="G219" s="18"/>
      <c r="H219" s="19" t="str">
        <f aca="false">TRIM(D219)</f>
        <v>Pork Leg/Thit Chan Gio</v>
      </c>
    </row>
    <row r="220" customFormat="false" ht="16.4" hidden="false" customHeight="false" outlineLevel="0" collapsed="false">
      <c r="A220" s="20" t="e">
        <f aca="false">1+A219</f>
        <v>#REF!</v>
      </c>
      <c r="B220" s="15" t="n">
        <v>195</v>
      </c>
      <c r="C220" s="15" t="s">
        <v>358</v>
      </c>
      <c r="D220" s="16" t="s">
        <v>359</v>
      </c>
      <c r="E220" s="15" t="s">
        <v>18</v>
      </c>
      <c r="F220" s="17" t="n">
        <v>130000</v>
      </c>
      <c r="G220" s="18"/>
      <c r="H220" s="19" t="str">
        <f aca="false">TRIM(D220)</f>
        <v>Pork Loin/ Nac Lung Heo</v>
      </c>
    </row>
    <row r="221" customFormat="false" ht="16.4" hidden="false" customHeight="false" outlineLevel="0" collapsed="false">
      <c r="A221" s="20" t="e">
        <f aca="false">1+A220</f>
        <v>#REF!</v>
      </c>
      <c r="B221" s="15" t="n">
        <v>199</v>
      </c>
      <c r="C221" s="15" t="s">
        <v>360</v>
      </c>
      <c r="D221" s="16" t="s">
        <v>361</v>
      </c>
      <c r="E221" s="15" t="s">
        <v>18</v>
      </c>
      <c r="F221" s="17" t="n">
        <v>120000</v>
      </c>
      <c r="G221" s="18"/>
      <c r="H221" s="19" t="str">
        <f aca="false">TRIM(D221)</f>
        <v>Pork Minced /Thit Heo Xay</v>
      </c>
    </row>
    <row r="222" customFormat="false" ht="16.4" hidden="false" customHeight="false" outlineLevel="0" collapsed="false">
      <c r="A222" s="20" t="e">
        <f aca="false">1+A221</f>
        <v>#REF!</v>
      </c>
      <c r="B222" s="15" t="n">
        <v>170</v>
      </c>
      <c r="C222" s="15" t="s">
        <v>362</v>
      </c>
      <c r="D222" s="16" t="s">
        <v>363</v>
      </c>
      <c r="E222" s="15" t="s">
        <v>18</v>
      </c>
      <c r="F222" s="17" t="n">
        <v>135000</v>
      </c>
      <c r="G222" s="18"/>
      <c r="H222" s="19" t="str">
        <f aca="false">TRIM(D222)</f>
        <v>Pork mousses/ Pork Pie Fresh/ Gio song</v>
      </c>
    </row>
    <row r="223" customFormat="false" ht="16.4" hidden="false" customHeight="false" outlineLevel="0" collapsed="false">
      <c r="A223" s="20" t="e">
        <f aca="false">1+A222</f>
        <v>#REF!</v>
      </c>
      <c r="B223" s="15" t="n">
        <v>169</v>
      </c>
      <c r="C223" s="15" t="s">
        <v>364</v>
      </c>
      <c r="D223" s="16" t="s">
        <v>365</v>
      </c>
      <c r="E223" s="15" t="s">
        <v>18</v>
      </c>
      <c r="F223" s="17" t="n">
        <v>140000</v>
      </c>
      <c r="G223" s="17"/>
      <c r="H223" s="19" t="str">
        <f aca="false">TRIM(D223)</f>
        <v>Pork Pie Fresh/Moc song</v>
      </c>
    </row>
    <row r="224" customFormat="false" ht="16.4" hidden="false" customHeight="false" outlineLevel="0" collapsed="false">
      <c r="A224" s="20" t="e">
        <f aca="false">1+A223</f>
        <v>#REF!</v>
      </c>
      <c r="B224" s="15" t="n">
        <v>204</v>
      </c>
      <c r="C224" s="15"/>
      <c r="D224" s="16" t="s">
        <v>366</v>
      </c>
      <c r="E224" s="15" t="s">
        <v>18</v>
      </c>
      <c r="F224" s="17" t="n">
        <v>365000</v>
      </c>
      <c r="G224" s="18"/>
      <c r="H224" s="19" t="str">
        <f aca="false">TRIM(D224)</f>
        <v>Pork Roasted whole/ Heo sua quay nguyen con (2-2.9kg/con)</v>
      </c>
    </row>
    <row r="225" customFormat="false" ht="16.4" hidden="false" customHeight="false" outlineLevel="0" collapsed="false">
      <c r="A225" s="20" t="e">
        <f aca="false">1+A224</f>
        <v>#REF!</v>
      </c>
      <c r="B225" s="15" t="n">
        <v>193</v>
      </c>
      <c r="C225" s="15" t="s">
        <v>367</v>
      </c>
      <c r="D225" s="16" t="s">
        <v>368</v>
      </c>
      <c r="E225" s="15" t="s">
        <v>18</v>
      </c>
      <c r="F225" s="17" t="n">
        <v>120000</v>
      </c>
      <c r="G225" s="18"/>
      <c r="H225" s="19" t="str">
        <f aca="false">TRIM(D225)</f>
        <v>Pork Shoulder/Nac Vai</v>
      </c>
    </row>
    <row r="226" customFormat="false" ht="16.4" hidden="false" customHeight="false" outlineLevel="0" collapsed="false">
      <c r="A226" s="20" t="e">
        <f aca="false">1+A225</f>
        <v>#REF!</v>
      </c>
      <c r="B226" s="15" t="n">
        <v>196</v>
      </c>
      <c r="C226" s="15" t="s">
        <v>369</v>
      </c>
      <c r="D226" s="16" t="s">
        <v>370</v>
      </c>
      <c r="E226" s="15" t="s">
        <v>18</v>
      </c>
      <c r="F226" s="17" t="n">
        <v>105000</v>
      </c>
      <c r="G226" s="18"/>
      <c r="H226" s="19" t="str">
        <f aca="false">TRIM(D226)</f>
        <v>Pork Spare Rib/ Suon Heo Non</v>
      </c>
    </row>
    <row r="227" customFormat="false" ht="16.4" hidden="false" customHeight="false" outlineLevel="0" collapsed="false">
      <c r="A227" s="20" t="e">
        <f aca="false">1+A226</f>
        <v>#REF!</v>
      </c>
      <c r="B227" s="15" t="n">
        <v>1949</v>
      </c>
      <c r="C227" s="15" t="s">
        <v>371</v>
      </c>
      <c r="D227" s="16" t="s">
        <v>372</v>
      </c>
      <c r="E227" s="15" t="s">
        <v>18</v>
      </c>
      <c r="F227" s="17" t="n">
        <v>145000</v>
      </c>
      <c r="G227" s="18"/>
      <c r="H227" s="19" t="str">
        <f aca="false">TRIM(D227)</f>
        <v>Pork stomach/ Bao tu heo</v>
      </c>
    </row>
    <row r="228" customFormat="false" ht="16.4" hidden="false" customHeight="false" outlineLevel="0" collapsed="false">
      <c r="A228" s="20" t="e">
        <f aca="false">1+A227</f>
        <v>#REF!</v>
      </c>
      <c r="B228" s="15" t="n">
        <v>194</v>
      </c>
      <c r="C228" s="15" t="s">
        <v>373</v>
      </c>
      <c r="D228" s="16" t="s">
        <v>374</v>
      </c>
      <c r="E228" s="15" t="s">
        <v>18</v>
      </c>
      <c r="F228" s="17" t="n">
        <v>135000</v>
      </c>
      <c r="G228" s="18"/>
      <c r="H228" s="19" t="str">
        <f aca="false">TRIM(D228)</f>
        <v>Pork Tenderloin/Than Lon</v>
      </c>
    </row>
    <row r="229" customFormat="false" ht="16.4" hidden="false" customHeight="false" outlineLevel="0" collapsed="false">
      <c r="A229" s="20" t="e">
        <f aca="false">1+A228</f>
        <v>#REF!</v>
      </c>
      <c r="B229" s="15" t="n">
        <v>2382</v>
      </c>
      <c r="C229" s="15"/>
      <c r="D229" s="16" t="s">
        <v>375</v>
      </c>
      <c r="E229" s="15" t="s">
        <v>18</v>
      </c>
      <c r="F229" s="17" t="n">
        <v>135000</v>
      </c>
      <c r="G229" s="18"/>
      <c r="H229" s="19" t="str">
        <f aca="false">TRIM(D229)</f>
        <v>Pork tongue/ Luoi heo</v>
      </c>
    </row>
    <row r="230" customFormat="false" ht="16.4" hidden="false" customHeight="false" outlineLevel="0" collapsed="false">
      <c r="A230" s="20" t="e">
        <f aca="false">1+A229</f>
        <v>#REF!</v>
      </c>
      <c r="B230" s="15" t="n">
        <v>191</v>
      </c>
      <c r="C230" s="15" t="s">
        <v>376</v>
      </c>
      <c r="D230" s="16" t="s">
        <v>377</v>
      </c>
      <c r="E230" s="15" t="s">
        <v>18</v>
      </c>
      <c r="F230" s="17" t="n">
        <v>110000</v>
      </c>
      <c r="G230" s="18"/>
      <c r="H230" s="19" t="str">
        <f aca="false">TRIM(D230)</f>
        <v>Pork Whole leg without bone/ Chan gio heo rut xuong</v>
      </c>
    </row>
    <row r="231" customFormat="false" ht="16.4" hidden="false" customHeight="false" outlineLevel="0" collapsed="false">
      <c r="A231" s="20" t="e">
        <f aca="false">1+A230</f>
        <v>#REF!</v>
      </c>
      <c r="B231" s="15" t="n">
        <v>482</v>
      </c>
      <c r="C231" s="15" t="s">
        <v>378</v>
      </c>
      <c r="D231" s="16" t="s">
        <v>379</v>
      </c>
      <c r="E231" s="15" t="s">
        <v>323</v>
      </c>
      <c r="F231" s="17" t="n">
        <v>120000</v>
      </c>
      <c r="G231" s="18"/>
      <c r="H231" s="19" t="str">
        <f aca="false">TRIM(D231)</f>
        <v>Powder Chili 500G/bot ot</v>
      </c>
    </row>
    <row r="232" customFormat="false" ht="16.4" hidden="false" customHeight="false" outlineLevel="0" collapsed="false">
      <c r="A232" s="20" t="e">
        <f aca="false">1+A231</f>
        <v>#REF!</v>
      </c>
      <c r="B232" s="15" t="n">
        <v>2872</v>
      </c>
      <c r="C232" s="15"/>
      <c r="D232" s="16" t="s">
        <v>380</v>
      </c>
      <c r="E232" s="15" t="s">
        <v>18</v>
      </c>
      <c r="F232" s="17" t="n">
        <v>48000</v>
      </c>
      <c r="G232" s="18"/>
      <c r="H232" s="19" t="str">
        <f aca="false">TRIM(D232)</f>
        <v>purple sweet potato/ Khoai lang ken</v>
      </c>
    </row>
    <row r="233" customFormat="false" ht="16.4" hidden="false" customHeight="false" outlineLevel="0" collapsed="false">
      <c r="A233" s="20" t="e">
        <f aca="false">1+A232</f>
        <v>#REF!</v>
      </c>
      <c r="B233" s="15" t="n">
        <v>2401</v>
      </c>
      <c r="C233" s="15"/>
      <c r="D233" s="16" t="s">
        <v>381</v>
      </c>
      <c r="E233" s="15" t="s">
        <v>18</v>
      </c>
      <c r="F233" s="17" t="n">
        <v>80000</v>
      </c>
      <c r="G233" s="18"/>
      <c r="H233" s="19" t="str">
        <f aca="false">TRIM(D233)</f>
        <v>Raw peanut 1kg/ Dau phong song 1kg</v>
      </c>
    </row>
    <row r="234" customFormat="false" ht="16.4" hidden="false" customHeight="false" outlineLevel="0" collapsed="false">
      <c r="A234" s="20" t="e">
        <f aca="false">1+A233</f>
        <v>#REF!</v>
      </c>
      <c r="B234" s="15" t="n">
        <v>2446</v>
      </c>
      <c r="C234" s="15"/>
      <c r="D234" s="16" t="s">
        <v>382</v>
      </c>
      <c r="E234" s="15" t="s">
        <v>18</v>
      </c>
      <c r="F234" s="17" t="n">
        <v>95000</v>
      </c>
      <c r="G234" s="18"/>
      <c r="H234" s="19" t="str">
        <f aca="false">TRIM(D234)</f>
        <v>Red apples 5-6 fruits/1kg Tao do UC 5-6 qua/1kg</v>
      </c>
    </row>
    <row r="235" customFormat="false" ht="16.4" hidden="false" customHeight="false" outlineLevel="0" collapsed="false">
      <c r="A235" s="20" t="e">
        <f aca="false">1+A234</f>
        <v>#REF!</v>
      </c>
      <c r="B235" s="15" t="n">
        <v>327</v>
      </c>
      <c r="C235" s="15" t="s">
        <v>383</v>
      </c>
      <c r="D235" s="16" t="s">
        <v>384</v>
      </c>
      <c r="E235" s="15" t="s">
        <v>18</v>
      </c>
      <c r="F235" s="17" t="n">
        <v>80000</v>
      </c>
      <c r="G235" s="18"/>
      <c r="H235" s="19" t="str">
        <f aca="false">TRIM(D235)</f>
        <v>Red radish baby/ Cu cai do nho</v>
      </c>
    </row>
    <row r="236" customFormat="false" ht="16.4" hidden="false" customHeight="false" outlineLevel="0" collapsed="false">
      <c r="A236" s="20" t="e">
        <f aca="false">1+A235</f>
        <v>#REF!</v>
      </c>
      <c r="B236" s="15" t="n">
        <v>473</v>
      </c>
      <c r="C236" s="15"/>
      <c r="D236" s="16" t="s">
        <v>385</v>
      </c>
      <c r="E236" s="15" t="s">
        <v>18</v>
      </c>
      <c r="F236" s="17" t="n">
        <v>19000</v>
      </c>
      <c r="G236" s="17"/>
      <c r="H236" s="19" t="str">
        <f aca="false">TRIM(D236)</f>
        <v>Rice BC/ Gao BC</v>
      </c>
    </row>
    <row r="237" customFormat="false" ht="16.4" hidden="false" customHeight="false" outlineLevel="0" collapsed="false">
      <c r="A237" s="20" t="e">
        <f aca="false">1+A236</f>
        <v>#REF!</v>
      </c>
      <c r="B237" s="15" t="n">
        <v>521</v>
      </c>
      <c r="C237" s="15"/>
      <c r="D237" s="16" t="s">
        <v>386</v>
      </c>
      <c r="E237" s="15" t="s">
        <v>387</v>
      </c>
      <c r="F237" s="17" t="n">
        <v>19800</v>
      </c>
      <c r="G237" s="18"/>
      <c r="H237" s="19" t="str">
        <f aca="false">TRIM(D237)</f>
        <v>Rice flour 400g/ bot gao 400g</v>
      </c>
    </row>
    <row r="238" customFormat="false" ht="16.4" hidden="false" customHeight="false" outlineLevel="0" collapsed="false">
      <c r="A238" s="20" t="e">
        <f aca="false">1+A237</f>
        <v>#REF!</v>
      </c>
      <c r="B238" s="15" t="n">
        <v>1788</v>
      </c>
      <c r="C238" s="15"/>
      <c r="D238" s="16" t="s">
        <v>388</v>
      </c>
      <c r="E238" s="15" t="s">
        <v>18</v>
      </c>
      <c r="F238" s="17" t="n">
        <v>20000</v>
      </c>
      <c r="G238" s="18"/>
      <c r="H238" s="19" t="str">
        <f aca="false">TRIM(D238)</f>
        <v>Rice Nang Huong/ Gao Nang Huong</v>
      </c>
    </row>
    <row r="239" customFormat="false" ht="16.4" hidden="false" customHeight="false" outlineLevel="0" collapsed="false">
      <c r="A239" s="20" t="e">
        <f aca="false">1+A238</f>
        <v>#REF!</v>
      </c>
      <c r="B239" s="15" t="n">
        <v>3832</v>
      </c>
      <c r="C239" s="15" t="s">
        <v>389</v>
      </c>
      <c r="D239" s="16" t="s">
        <v>390</v>
      </c>
      <c r="E239" s="15" t="s">
        <v>391</v>
      </c>
      <c r="F239" s="17" t="n">
        <v>370000</v>
      </c>
      <c r="G239" s="18"/>
      <c r="H239" s="19" t="str">
        <f aca="false">TRIM(D239)</f>
        <v>Saffron 1g/ Nhuy hoa nghe tay 1g</v>
      </c>
    </row>
    <row r="240" customFormat="false" ht="16.4" hidden="false" customHeight="false" outlineLevel="0" collapsed="false">
      <c r="A240" s="20" t="e">
        <f aca="false">1+A239</f>
        <v>#REF!</v>
      </c>
      <c r="B240" s="15" t="n">
        <v>2967</v>
      </c>
      <c r="C240" s="15"/>
      <c r="D240" s="16" t="s">
        <v>392</v>
      </c>
      <c r="E240" s="15" t="s">
        <v>18</v>
      </c>
      <c r="F240" s="17" t="n">
        <v>45000</v>
      </c>
      <c r="G240" s="18"/>
      <c r="H240" s="19" t="str">
        <f aca="false">TRIM(D240)</f>
        <v>Saigon tangerines/ Quyt duong Sai Gon</v>
      </c>
    </row>
    <row r="241" customFormat="false" ht="16.4" hidden="false" customHeight="false" outlineLevel="0" collapsed="false">
      <c r="A241" s="20" t="e">
        <f aca="false">1+A240</f>
        <v>#REF!</v>
      </c>
      <c r="B241" s="15" t="n">
        <v>2636</v>
      </c>
      <c r="C241" s="15"/>
      <c r="D241" s="16" t="s">
        <v>393</v>
      </c>
      <c r="E241" s="15" t="s">
        <v>394</v>
      </c>
      <c r="F241" s="17" t="n">
        <v>42000</v>
      </c>
      <c r="G241" s="18"/>
      <c r="H241" s="19" t="str">
        <f aca="false">TRIM(D241)</f>
        <v>Salt roasted powder 450g/ Bot rang muoi Tuan Phuong</v>
      </c>
    </row>
    <row r="242" customFormat="false" ht="16.4" hidden="false" customHeight="false" outlineLevel="0" collapsed="false">
      <c r="A242" s="20" t="e">
        <f aca="false">1+A241</f>
        <v>#REF!</v>
      </c>
      <c r="B242" s="15" t="n">
        <v>154</v>
      </c>
      <c r="C242" s="15" t="s">
        <v>395</v>
      </c>
      <c r="D242" s="16" t="s">
        <v>396</v>
      </c>
      <c r="E242" s="15" t="s">
        <v>111</v>
      </c>
      <c r="F242" s="17" t="n">
        <v>5300</v>
      </c>
      <c r="G242" s="17"/>
      <c r="H242" s="19" t="str">
        <f aca="false">TRIM(D242)</f>
        <v>Salted duck egg/Trung Vit Muoi</v>
      </c>
    </row>
    <row r="243" customFormat="false" ht="16.4" hidden="false" customHeight="false" outlineLevel="0" collapsed="false">
      <c r="A243" s="20" t="e">
        <f aca="false">1+A242</f>
        <v>#REF!</v>
      </c>
      <c r="B243" s="15" t="n">
        <v>403</v>
      </c>
      <c r="C243" s="15" t="s">
        <v>397</v>
      </c>
      <c r="D243" s="16" t="s">
        <v>398</v>
      </c>
      <c r="E243" s="15" t="s">
        <v>399</v>
      </c>
      <c r="F243" s="17" t="n">
        <v>75000</v>
      </c>
      <c r="G243" s="18"/>
      <c r="H243" s="19" t="str">
        <f aca="false">TRIM(D243)</f>
        <v>Sauce Chilli Cholimex 2.1L/ Tuong ot Cholimex 2.1L</v>
      </c>
    </row>
    <row r="244" customFormat="false" ht="16.4" hidden="false" customHeight="false" outlineLevel="0" collapsed="false">
      <c r="A244" s="20" t="e">
        <f aca="false">1+A243</f>
        <v>#REF!</v>
      </c>
      <c r="B244" s="15" t="n">
        <v>480</v>
      </c>
      <c r="C244" s="15"/>
      <c r="D244" s="16" t="s">
        <v>400</v>
      </c>
      <c r="E244" s="15" t="s">
        <v>401</v>
      </c>
      <c r="F244" s="17" t="n">
        <v>21500</v>
      </c>
      <c r="G244" s="17"/>
      <c r="H244" s="19" t="str">
        <f aca="false">TRIM(D244)</f>
        <v>Sauce Fish Nam ngu/ Nuoc Mam Nam Ngu Chinsu de nhi 800ml</v>
      </c>
    </row>
    <row r="245" customFormat="false" ht="16.4" hidden="false" customHeight="false" outlineLevel="0" collapsed="false">
      <c r="A245" s="20" t="e">
        <f aca="false">1+A244</f>
        <v>#REF!</v>
      </c>
      <c r="B245" s="15" t="n">
        <v>405</v>
      </c>
      <c r="C245" s="15" t="s">
        <v>402</v>
      </c>
      <c r="D245" s="16" t="s">
        <v>403</v>
      </c>
      <c r="E245" s="15" t="s">
        <v>404</v>
      </c>
      <c r="F245" s="17" t="n">
        <v>35000</v>
      </c>
      <c r="G245" s="18"/>
      <c r="H245" s="19" t="str">
        <f aca="false">TRIM(D245)</f>
        <v>Sauce Oyster LKK/ Dau Hao chay LKK 510gr</v>
      </c>
    </row>
    <row r="246" customFormat="false" ht="16.4" hidden="false" customHeight="false" outlineLevel="0" collapsed="false">
      <c r="A246" s="20" t="e">
        <f aca="false">1+A245</f>
        <v>#REF!</v>
      </c>
      <c r="B246" s="15" t="n">
        <v>406</v>
      </c>
      <c r="C246" s="15" t="s">
        <v>405</v>
      </c>
      <c r="D246" s="16" t="s">
        <v>406</v>
      </c>
      <c r="E246" s="15" t="s">
        <v>407</v>
      </c>
      <c r="F246" s="17" t="n">
        <v>52800</v>
      </c>
      <c r="G246" s="18"/>
      <c r="H246" s="19" t="str">
        <f aca="false">TRIM(D246)</f>
        <v>Sauce Oyster Maggi / Dau Hao Maggi 820ml</v>
      </c>
    </row>
    <row r="247" customFormat="false" ht="16.4" hidden="false" customHeight="false" outlineLevel="0" collapsed="false">
      <c r="A247" s="20" t="e">
        <f aca="false">1+A246</f>
        <v>#REF!</v>
      </c>
      <c r="B247" s="15" t="n">
        <v>383</v>
      </c>
      <c r="C247" s="15" t="s">
        <v>408</v>
      </c>
      <c r="D247" s="16" t="s">
        <v>409</v>
      </c>
      <c r="E247" s="15" t="s">
        <v>410</v>
      </c>
      <c r="F247" s="17" t="n">
        <v>58000</v>
      </c>
      <c r="G247" s="18"/>
      <c r="H247" s="19" t="str">
        <f aca="false">TRIM(D247)</f>
        <v>Sauce Seafood LKK / Sot hai san LKK 410ml</v>
      </c>
    </row>
    <row r="248" customFormat="false" ht="16.4" hidden="false" customHeight="false" outlineLevel="0" collapsed="false">
      <c r="A248" s="20" t="e">
        <f aca="false">1+A247</f>
        <v>#REF!</v>
      </c>
      <c r="B248" s="15" t="n">
        <v>1959</v>
      </c>
      <c r="C248" s="15"/>
      <c r="D248" s="16" t="s">
        <v>411</v>
      </c>
      <c r="E248" s="15" t="s">
        <v>412</v>
      </c>
      <c r="F248" s="17" t="n">
        <v>60500</v>
      </c>
      <c r="G248" s="18"/>
      <c r="H248" s="19" t="str">
        <f aca="false">TRIM(D248)</f>
        <v>Sauce Shrimp Paste /Mam Ruoc Hue Song Huong 430gr</v>
      </c>
    </row>
    <row r="249" customFormat="false" ht="16.4" hidden="false" customHeight="false" outlineLevel="0" collapsed="false">
      <c r="A249" s="20" t="e">
        <f aca="false">1+A248</f>
        <v>#REF!</v>
      </c>
      <c r="B249" s="15" t="n">
        <v>404</v>
      </c>
      <c r="C249" s="15" t="s">
        <v>413</v>
      </c>
      <c r="D249" s="16" t="s">
        <v>414</v>
      </c>
      <c r="E249" s="15" t="s">
        <v>399</v>
      </c>
      <c r="F249" s="17" t="n">
        <v>78000</v>
      </c>
      <c r="G249" s="17"/>
      <c r="H249" s="19" t="str">
        <f aca="false">TRIM(D249)</f>
        <v>Sauce Tomato Cholimex / Tuong ca Cholimex 2.1L</v>
      </c>
    </row>
    <row r="250" customFormat="false" ht="16.4" hidden="false" customHeight="false" outlineLevel="0" collapsed="false">
      <c r="A250" s="20" t="e">
        <f aca="false">1+A249</f>
        <v>#REF!</v>
      </c>
      <c r="B250" s="15" t="n">
        <v>2859</v>
      </c>
      <c r="C250" s="15"/>
      <c r="D250" s="16" t="s">
        <v>415</v>
      </c>
      <c r="E250" s="15" t="s">
        <v>18</v>
      </c>
      <c r="F250" s="17" t="n">
        <v>140000</v>
      </c>
      <c r="G250" s="18"/>
      <c r="H250" s="19" t="str">
        <f aca="false">TRIM(D250)</f>
        <v>sausage cartilage/ Cha sun non</v>
      </c>
    </row>
    <row r="251" customFormat="false" ht="16.4" hidden="false" customHeight="false" outlineLevel="0" collapsed="false">
      <c r="A251" s="20" t="e">
        <f aca="false">1+A250</f>
        <v>#REF!</v>
      </c>
      <c r="B251" s="15" t="n">
        <v>2858</v>
      </c>
      <c r="C251" s="15"/>
      <c r="D251" s="16" t="s">
        <v>416</v>
      </c>
      <c r="E251" s="15" t="s">
        <v>18</v>
      </c>
      <c r="F251" s="17" t="n">
        <v>80000</v>
      </c>
      <c r="G251" s="18"/>
      <c r="H251" s="19" t="str">
        <f aca="false">TRIM(D251)</f>
        <v>sausage with cartilage/ Doi sun non</v>
      </c>
    </row>
    <row r="252" customFormat="false" ht="16.4" hidden="false" customHeight="false" outlineLevel="0" collapsed="false">
      <c r="A252" s="20" t="e">
        <f aca="false">1+A251</f>
        <v>#REF!</v>
      </c>
      <c r="B252" s="15" t="n">
        <v>1768</v>
      </c>
      <c r="C252" s="15"/>
      <c r="D252" s="16" t="s">
        <v>417</v>
      </c>
      <c r="E252" s="15" t="s">
        <v>323</v>
      </c>
      <c r="F252" s="17" t="n">
        <v>119000</v>
      </c>
      <c r="G252" s="17"/>
      <c r="H252" s="19" t="str">
        <f aca="false">TRIM(D252)</f>
        <v>Sausage/Lap xuong Mai Que Lo 500gr</v>
      </c>
    </row>
    <row r="253" customFormat="false" ht="16.4" hidden="false" customHeight="false" outlineLevel="0" collapsed="false">
      <c r="A253" s="20" t="e">
        <f aca="false">1+A252</f>
        <v>#REF!</v>
      </c>
      <c r="B253" s="15" t="n">
        <v>2753</v>
      </c>
      <c r="C253" s="15"/>
      <c r="D253" s="16" t="s">
        <v>418</v>
      </c>
      <c r="E253" s="15" t="s">
        <v>18</v>
      </c>
      <c r="F253" s="17" t="n">
        <v>12000</v>
      </c>
      <c r="G253" s="18"/>
      <c r="H253" s="19" t="str">
        <f aca="false">TRIM(D253)</f>
        <v>Seasoning Salt 1Kg/Muoi Hot</v>
      </c>
    </row>
    <row r="254" customFormat="false" ht="16.4" hidden="false" customHeight="false" outlineLevel="0" collapsed="false">
      <c r="A254" s="20" t="e">
        <f aca="false">1+A253</f>
        <v>#REF!</v>
      </c>
      <c r="B254" s="15" t="n">
        <v>479</v>
      </c>
      <c r="C254" s="15"/>
      <c r="D254" s="16" t="s">
        <v>419</v>
      </c>
      <c r="E254" s="15" t="s">
        <v>54</v>
      </c>
      <c r="F254" s="17" t="n">
        <v>32000</v>
      </c>
      <c r="G254" s="18"/>
      <c r="H254" s="19" t="str">
        <f aca="false">TRIM(D254)</f>
        <v>Seasoning Salt Thai Lan / Muoi Thai 1kg</v>
      </c>
    </row>
    <row r="255" customFormat="false" ht="16.4" hidden="false" customHeight="false" outlineLevel="0" collapsed="false">
      <c r="A255" s="20" t="e">
        <f aca="false">1+A254</f>
        <v>#REF!</v>
      </c>
      <c r="B255" s="15" t="n">
        <v>379</v>
      </c>
      <c r="C255" s="15" t="s">
        <v>420</v>
      </c>
      <c r="D255" s="16" t="s">
        <v>421</v>
      </c>
      <c r="E255" s="15" t="s">
        <v>18</v>
      </c>
      <c r="F255" s="17" t="n">
        <v>400000</v>
      </c>
      <c r="G255" s="18"/>
      <c r="H255" s="19" t="str">
        <f aca="false">TRIM(D255)</f>
        <v>Sentinel crab-Live/ Ghe bien song do loai 5-6con/kg</v>
      </c>
    </row>
    <row r="256" customFormat="false" ht="16.4" hidden="false" customHeight="false" outlineLevel="0" collapsed="false">
      <c r="A256" s="20" t="e">
        <f aca="false">1+A255</f>
        <v>#REF!</v>
      </c>
      <c r="B256" s="15" t="n">
        <v>1769</v>
      </c>
      <c r="C256" s="15"/>
      <c r="D256" s="16" t="s">
        <v>422</v>
      </c>
      <c r="E256" s="15" t="s">
        <v>423</v>
      </c>
      <c r="F256" s="17" t="n">
        <v>175000</v>
      </c>
      <c r="G256" s="18"/>
      <c r="H256" s="19" t="str">
        <f aca="false">TRIM(D256)</f>
        <v>Shrimp paste with meat/ Mam tep trung thit Lan Anh 454gr</v>
      </c>
    </row>
    <row r="257" customFormat="false" ht="16.4" hidden="false" customHeight="false" outlineLevel="0" collapsed="false">
      <c r="A257" s="20" t="e">
        <f aca="false">1+A256</f>
        <v>#REF!</v>
      </c>
      <c r="B257" s="15" t="n">
        <v>481</v>
      </c>
      <c r="C257" s="15"/>
      <c r="D257" s="16" t="s">
        <v>424</v>
      </c>
      <c r="E257" s="15" t="s">
        <v>425</v>
      </c>
      <c r="F257" s="17" t="n">
        <v>220000</v>
      </c>
      <c r="G257" s="18"/>
      <c r="H257" s="19" t="str">
        <f aca="false">TRIM(D257)</f>
        <v>Sim Powder 400g / Bot sim rung 400g</v>
      </c>
    </row>
    <row r="258" customFormat="false" ht="16.4" hidden="false" customHeight="false" outlineLevel="0" collapsed="false">
      <c r="A258" s="20" t="e">
        <f aca="false">1+A257</f>
        <v>#REF!</v>
      </c>
      <c r="B258" s="15" t="n">
        <v>2864</v>
      </c>
      <c r="C258" s="15"/>
      <c r="D258" s="16" t="s">
        <v>426</v>
      </c>
      <c r="E258" s="15" t="s">
        <v>18</v>
      </c>
      <c r="F258" s="17" t="n">
        <v>218000</v>
      </c>
      <c r="G258" s="18"/>
      <c r="H258" s="19" t="str">
        <f aca="false">TRIM(D258)</f>
        <v>smoked pork belly/ Bap heo hun khoi</v>
      </c>
    </row>
    <row r="259" customFormat="false" ht="16.4" hidden="false" customHeight="false" outlineLevel="0" collapsed="false">
      <c r="A259" s="20" t="e">
        <f aca="false">1+A258</f>
        <v>#REF!</v>
      </c>
      <c r="B259" s="15" t="n">
        <v>2865</v>
      </c>
      <c r="C259" s="15"/>
      <c r="D259" s="16" t="s">
        <v>427</v>
      </c>
      <c r="E259" s="15" t="s">
        <v>18</v>
      </c>
      <c r="F259" s="17" t="n">
        <v>218000</v>
      </c>
      <c r="G259" s="18"/>
      <c r="H259" s="19" t="str">
        <f aca="false">TRIM(D259)</f>
        <v>smoked pork leg/ Chan gio heo hun khoi</v>
      </c>
    </row>
    <row r="260" customFormat="false" ht="16.4" hidden="false" customHeight="false" outlineLevel="0" collapsed="false">
      <c r="A260" s="20" t="e">
        <f aca="false">1+A259</f>
        <v>#REF!</v>
      </c>
      <c r="B260" s="15" t="n">
        <v>2116</v>
      </c>
      <c r="C260" s="15"/>
      <c r="D260" s="16" t="s">
        <v>428</v>
      </c>
      <c r="E260" s="15" t="s">
        <v>18</v>
      </c>
      <c r="F260" s="17" t="n">
        <v>75000</v>
      </c>
      <c r="G260" s="18"/>
      <c r="H260" s="19" t="str">
        <f aca="false">TRIM(D260)</f>
        <v>Snail intestines/ Ruot oc buou DL</v>
      </c>
    </row>
    <row r="261" customFormat="false" ht="16.4" hidden="false" customHeight="false" outlineLevel="0" collapsed="false">
      <c r="A261" s="20" t="e">
        <f aca="false">1+A260</f>
        <v>#REF!</v>
      </c>
      <c r="B261" s="15" t="n">
        <v>524</v>
      </c>
      <c r="C261" s="15"/>
      <c r="D261" s="16" t="s">
        <v>429</v>
      </c>
      <c r="E261" s="15" t="s">
        <v>430</v>
      </c>
      <c r="F261" s="17" t="n">
        <v>55000</v>
      </c>
      <c r="G261" s="18"/>
      <c r="H261" s="19" t="str">
        <f aca="false">TRIM(D261)</f>
        <v>Soaked peaches 820gr/ Dao ngam 820gr</v>
      </c>
    </row>
    <row r="262" customFormat="false" ht="16.4" hidden="false" customHeight="false" outlineLevel="0" collapsed="false">
      <c r="A262" s="20" t="e">
        <f aca="false">1+A261</f>
        <v>#REF!</v>
      </c>
      <c r="B262" s="15" t="n">
        <v>522</v>
      </c>
      <c r="C262" s="15"/>
      <c r="D262" s="16" t="s">
        <v>431</v>
      </c>
      <c r="E262" s="15" t="s">
        <v>432</v>
      </c>
      <c r="F262" s="17" t="n">
        <v>49500</v>
      </c>
      <c r="G262" s="18"/>
      <c r="H262" s="19" t="str">
        <f aca="false">TRIM(D262)</f>
        <v>Soda powder 120g (blue)/ bot soda 120g (màu xanh)</v>
      </c>
    </row>
    <row r="263" customFormat="false" ht="16.4" hidden="false" customHeight="false" outlineLevel="0" collapsed="false">
      <c r="A263" s="20" t="e">
        <f aca="false">1+A262</f>
        <v>#REF!</v>
      </c>
      <c r="B263" s="15" t="n">
        <v>1785</v>
      </c>
      <c r="C263" s="15"/>
      <c r="D263" s="16" t="s">
        <v>433</v>
      </c>
      <c r="E263" s="15" t="s">
        <v>111</v>
      </c>
      <c r="F263" s="17" t="n">
        <v>7500</v>
      </c>
      <c r="G263" s="18"/>
      <c r="H263" s="19" t="str">
        <f aca="false">TRIM(D263)</f>
        <v>Soffti cake/ Banh soffti 50gr</v>
      </c>
    </row>
    <row r="264" customFormat="false" ht="16.4" hidden="false" customHeight="false" outlineLevel="0" collapsed="false">
      <c r="A264" s="20" t="e">
        <f aca="false">1+A263</f>
        <v>#REF!</v>
      </c>
      <c r="B264" s="15" t="n">
        <v>2447</v>
      </c>
      <c r="C264" s="15"/>
      <c r="D264" s="16" t="s">
        <v>434</v>
      </c>
      <c r="E264" s="15" t="s">
        <v>435</v>
      </c>
      <c r="F264" s="17" t="n">
        <v>25000</v>
      </c>
      <c r="G264" s="18"/>
      <c r="H264" s="19" t="str">
        <f aca="false">TRIM(D264)</f>
        <v>Soft drink Coca 1.6L</v>
      </c>
    </row>
    <row r="265" customFormat="false" ht="16.4" hidden="false" customHeight="false" outlineLevel="0" collapsed="false">
      <c r="A265" s="20" t="e">
        <f aca="false">1+A264</f>
        <v>#REF!</v>
      </c>
      <c r="B265" s="15" t="n">
        <v>2448</v>
      </c>
      <c r="C265" s="15"/>
      <c r="D265" s="16" t="s">
        <v>436</v>
      </c>
      <c r="E265" s="15" t="s">
        <v>435</v>
      </c>
      <c r="F265" s="17" t="n">
        <v>25000</v>
      </c>
      <c r="G265" s="18"/>
      <c r="H265" s="19" t="str">
        <f aca="false">TRIM(D265)</f>
        <v>Soft drink Fanta 1.6L</v>
      </c>
    </row>
    <row r="266" customFormat="false" ht="16.4" hidden="false" customHeight="false" outlineLevel="0" collapsed="false">
      <c r="A266" s="20" t="e">
        <f aca="false">1+A265</f>
        <v>#REF!</v>
      </c>
      <c r="B266" s="15" t="n">
        <v>515</v>
      </c>
      <c r="C266" s="15"/>
      <c r="D266" s="16" t="s">
        <v>437</v>
      </c>
      <c r="E266" s="15" t="s">
        <v>70</v>
      </c>
      <c r="F266" s="17" t="n">
        <v>30000</v>
      </c>
      <c r="G266" s="18"/>
      <c r="H266" s="19" t="str">
        <f aca="false">TRIM(D266)</f>
        <v>Soy Milk 1 L Original/Sua dau nanh 1 L khong duong</v>
      </c>
    </row>
    <row r="267" customFormat="false" ht="16.4" hidden="false" customHeight="false" outlineLevel="0" collapsed="false">
      <c r="A267" s="20" t="e">
        <f aca="false">1+A266</f>
        <v>#REF!</v>
      </c>
      <c r="B267" s="15" t="n">
        <v>472</v>
      </c>
      <c r="C267" s="15" t="s">
        <v>438</v>
      </c>
      <c r="D267" s="16" t="s">
        <v>439</v>
      </c>
      <c r="E267" s="15" t="s">
        <v>440</v>
      </c>
      <c r="F267" s="17" t="n">
        <v>9000</v>
      </c>
      <c r="G267" s="17"/>
      <c r="H267" s="19" t="str">
        <f aca="false">TRIM(D267)</f>
        <v>Soy sauce crown prince/ Xi dau tam thai tu 500ml</v>
      </c>
    </row>
    <row r="268" customFormat="false" ht="16.4" hidden="false" customHeight="false" outlineLevel="0" collapsed="false">
      <c r="A268" s="20" t="e">
        <f aca="false">1+A267</f>
        <v>#REF!</v>
      </c>
      <c r="B268" s="15" t="n">
        <v>2562</v>
      </c>
      <c r="C268" s="15"/>
      <c r="D268" s="16" t="s">
        <v>441</v>
      </c>
      <c r="E268" s="15" t="s">
        <v>18</v>
      </c>
      <c r="F268" s="17" t="n">
        <v>280000</v>
      </c>
      <c r="G268" s="18"/>
      <c r="H268" s="19" t="str">
        <f aca="false">TRIM(D268)</f>
        <v>Squid rolls type 2/ Cha muc loai 2</v>
      </c>
    </row>
    <row r="269" customFormat="false" ht="16.4" hidden="false" customHeight="false" outlineLevel="0" collapsed="false">
      <c r="A269" s="20" t="e">
        <f aca="false">1+A268</f>
        <v>#REF!</v>
      </c>
      <c r="B269" s="15" t="n">
        <v>1778</v>
      </c>
      <c r="C269" s="15"/>
      <c r="D269" s="16" t="s">
        <v>442</v>
      </c>
      <c r="E269" s="15" t="s">
        <v>18</v>
      </c>
      <c r="F269" s="17" t="n">
        <v>400000</v>
      </c>
      <c r="G269" s="17"/>
      <c r="H269" s="19" t="str">
        <f aca="false">TRIM(D269)</f>
        <v>Squid rolls/ Cha muc Van Don</v>
      </c>
    </row>
    <row r="270" customFormat="false" ht="16.4" hidden="false" customHeight="false" outlineLevel="0" collapsed="false">
      <c r="A270" s="20" t="e">
        <f aca="false">1+A269</f>
        <v>#REF!</v>
      </c>
      <c r="B270" s="15" t="n">
        <v>398</v>
      </c>
      <c r="C270" s="15" t="s">
        <v>443</v>
      </c>
      <c r="D270" s="16" t="s">
        <v>444</v>
      </c>
      <c r="E270" s="15" t="s">
        <v>18</v>
      </c>
      <c r="F270" s="17" t="n">
        <v>28000</v>
      </c>
      <c r="G270" s="18"/>
      <c r="H270" s="19" t="str">
        <f aca="false">TRIM(D270)</f>
        <v>Sugar cane clean/ Mia got sach</v>
      </c>
    </row>
    <row r="271" customFormat="false" ht="16.4" hidden="false" customHeight="false" outlineLevel="0" collapsed="false">
      <c r="A271" s="20" t="e">
        <f aca="false">1+A270</f>
        <v>#REF!</v>
      </c>
      <c r="B271" s="15" t="n">
        <v>469</v>
      </c>
      <c r="C271" s="15" t="s">
        <v>445</v>
      </c>
      <c r="D271" s="16" t="s">
        <v>446</v>
      </c>
      <c r="E271" s="15" t="s">
        <v>31</v>
      </c>
      <c r="F271" s="17" t="n">
        <v>290000</v>
      </c>
      <c r="G271" s="18"/>
      <c r="H271" s="19" t="str">
        <f aca="false">TRIM(D271)</f>
        <v>Syrup Giffard almond 1L/ Siro giffard hanh nhan</v>
      </c>
    </row>
    <row r="272" customFormat="false" ht="16.4" hidden="false" customHeight="false" outlineLevel="0" collapsed="false">
      <c r="A272" s="20" t="e">
        <f aca="false">1+A271</f>
        <v>#REF!</v>
      </c>
      <c r="B272" s="15" t="n">
        <v>468</v>
      </c>
      <c r="C272" s="15" t="s">
        <v>447</v>
      </c>
      <c r="D272" s="16" t="s">
        <v>448</v>
      </c>
      <c r="E272" s="15" t="s">
        <v>31</v>
      </c>
      <c r="F272" s="17" t="n">
        <v>290000</v>
      </c>
      <c r="G272" s="18"/>
      <c r="H272" s="19" t="str">
        <f aca="false">TRIM(D272)</f>
        <v>Syrup Giffard avage 1L</v>
      </c>
    </row>
    <row r="273" customFormat="false" ht="16.4" hidden="false" customHeight="false" outlineLevel="0" collapsed="false">
      <c r="A273" s="20" t="e">
        <f aca="false">1+A272</f>
        <v>#REF!</v>
      </c>
      <c r="B273" s="15" t="n">
        <v>467</v>
      </c>
      <c r="C273" s="15" t="s">
        <v>449</v>
      </c>
      <c r="D273" s="16" t="s">
        <v>450</v>
      </c>
      <c r="E273" s="15" t="s">
        <v>31</v>
      </c>
      <c r="F273" s="17" t="n">
        <v>290000</v>
      </c>
      <c r="G273" s="18"/>
      <c r="H273" s="19" t="str">
        <f aca="false">TRIM(D273)</f>
        <v>Syrup Giffard Pomegranate 1L/ Siro Giffard Lựu</v>
      </c>
    </row>
    <row r="274" customFormat="false" ht="16.4" hidden="false" customHeight="false" outlineLevel="0" collapsed="false">
      <c r="A274" s="20" t="e">
        <f aca="false">1+A273</f>
        <v>#REF!</v>
      </c>
      <c r="B274" s="15" t="n">
        <v>470</v>
      </c>
      <c r="C274" s="15" t="s">
        <v>451</v>
      </c>
      <c r="D274" s="16" t="s">
        <v>452</v>
      </c>
      <c r="E274" s="15" t="s">
        <v>453</v>
      </c>
      <c r="F274" s="17" t="n">
        <v>270000</v>
      </c>
      <c r="G274" s="18"/>
      <c r="H274" s="19" t="str">
        <f aca="false">TRIM(D274)</f>
        <v>Syrup Sim 600ml</v>
      </c>
    </row>
    <row r="275" customFormat="false" ht="16.4" hidden="false" customHeight="false" outlineLevel="0" collapsed="false">
      <c r="A275" s="20" t="e">
        <f aca="false">1+A274</f>
        <v>#REF!</v>
      </c>
      <c r="B275" s="15" t="n">
        <v>2405</v>
      </c>
      <c r="C275" s="15"/>
      <c r="D275" s="16" t="s">
        <v>454</v>
      </c>
      <c r="E275" s="15" t="s">
        <v>18</v>
      </c>
      <c r="F275" s="17" t="n">
        <v>110000</v>
      </c>
      <c r="G275" s="18"/>
      <c r="H275" s="19" t="str">
        <f aca="false">TRIM(D275)</f>
        <v>Tangerine - AU/ Quyt Uc 5trai/1kg</v>
      </c>
    </row>
    <row r="276" customFormat="false" ht="16.4" hidden="false" customHeight="false" outlineLevel="0" collapsed="false">
      <c r="A276" s="20" t="e">
        <f aca="false">1+A275</f>
        <v>#REF!</v>
      </c>
      <c r="B276" s="15" t="n">
        <v>1789</v>
      </c>
      <c r="C276" s="15"/>
      <c r="D276" s="16" t="s">
        <v>455</v>
      </c>
      <c r="E276" s="15" t="s">
        <v>18</v>
      </c>
      <c r="F276" s="17" t="n">
        <v>52000</v>
      </c>
      <c r="G276" s="18"/>
      <c r="H276" s="19" t="str">
        <f aca="false">TRIM(D276)</f>
        <v>Thai sticky rice/ Gao nep Thai</v>
      </c>
    </row>
    <row r="277" customFormat="false" ht="16.4" hidden="false" customHeight="false" outlineLevel="0" collapsed="false">
      <c r="A277" s="20" t="e">
        <f aca="false">1+A276</f>
        <v>#REF!</v>
      </c>
      <c r="B277" s="15" t="n">
        <v>1794</v>
      </c>
      <c r="C277" s="15"/>
      <c r="D277" s="16" t="s">
        <v>456</v>
      </c>
      <c r="E277" s="15" t="s">
        <v>111</v>
      </c>
      <c r="F277" s="17" t="n">
        <v>7833</v>
      </c>
      <c r="G277" s="18"/>
      <c r="H277" s="19" t="str">
        <f aca="false">TRIM(D277)</f>
        <v>TRA BI DAO WDF 310ML/ Squash tea</v>
      </c>
    </row>
    <row r="278" customFormat="false" ht="16.4" hidden="false" customHeight="false" outlineLevel="0" collapsed="false">
      <c r="A278" s="20" t="e">
        <f aca="false">1+A277</f>
        <v>#REF!</v>
      </c>
      <c r="B278" s="15" t="n">
        <v>367</v>
      </c>
      <c r="C278" s="15" t="s">
        <v>457</v>
      </c>
      <c r="D278" s="16" t="s">
        <v>458</v>
      </c>
      <c r="E278" s="15" t="s">
        <v>18</v>
      </c>
      <c r="F278" s="17" t="n">
        <v>200000</v>
      </c>
      <c r="G278" s="18"/>
      <c r="H278" s="19" t="str">
        <f aca="false">TRIM(D278)</f>
        <v>Turgid Venus / Ngheu 2 coi</v>
      </c>
    </row>
    <row r="279" customFormat="false" ht="16.4" hidden="false" customHeight="false" outlineLevel="0" collapsed="false">
      <c r="A279" s="20" t="e">
        <f aca="false">1+A278</f>
        <v>#REF!</v>
      </c>
      <c r="B279" s="15" t="n">
        <v>2829</v>
      </c>
      <c r="C279" s="15"/>
      <c r="D279" s="16" t="s">
        <v>459</v>
      </c>
      <c r="E279" s="15" t="s">
        <v>18</v>
      </c>
      <c r="F279" s="17" t="n">
        <v>130000</v>
      </c>
      <c r="G279" s="18"/>
      <c r="H279" s="19" t="str">
        <f aca="false">TRIM(D279)</f>
        <v>Turmeric powder/ Bot nghe</v>
      </c>
    </row>
    <row r="280" customFormat="false" ht="16.4" hidden="false" customHeight="false" outlineLevel="0" collapsed="false">
      <c r="A280" s="20" t="e">
        <f aca="false">1+A279</f>
        <v>#REF!</v>
      </c>
      <c r="B280" s="15" t="n">
        <v>1684</v>
      </c>
      <c r="C280" s="15"/>
      <c r="D280" s="16" t="s">
        <v>460</v>
      </c>
      <c r="E280" s="15" t="s">
        <v>70</v>
      </c>
      <c r="F280" s="17" t="n">
        <v>49000</v>
      </c>
      <c r="G280" s="18"/>
      <c r="H280" s="19" t="str">
        <f aca="false">TRIM(D280)</f>
        <v>V fresh Apple Juice 1L/ Nuoc tao ep 1L</v>
      </c>
    </row>
    <row r="281" customFormat="false" ht="16.4" hidden="false" customHeight="false" outlineLevel="0" collapsed="false">
      <c r="A281" s="20" t="e">
        <f aca="false">1+A280</f>
        <v>#REF!</v>
      </c>
      <c r="B281" s="15" t="n">
        <v>1685</v>
      </c>
      <c r="C281" s="15"/>
      <c r="D281" s="16" t="s">
        <v>461</v>
      </c>
      <c r="E281" s="15" t="s">
        <v>70</v>
      </c>
      <c r="F281" s="17" t="n">
        <v>49000</v>
      </c>
      <c r="G281" s="18"/>
      <c r="H281" s="19" t="str">
        <f aca="false">TRIM(D281)</f>
        <v>V fresh Orange Juice 1L/ Nuoc cam ep 1L</v>
      </c>
    </row>
    <row r="282" customFormat="false" ht="16.4" hidden="false" customHeight="false" outlineLevel="0" collapsed="false">
      <c r="A282" s="20" t="e">
        <f aca="false">1+A281</f>
        <v>#REF!</v>
      </c>
      <c r="B282" s="15" t="n">
        <v>210</v>
      </c>
      <c r="C282" s="15" t="s">
        <v>462</v>
      </c>
      <c r="D282" s="16" t="s">
        <v>463</v>
      </c>
      <c r="E282" s="15" t="s">
        <v>18</v>
      </c>
      <c r="F282" s="17" t="n">
        <v>23000</v>
      </c>
      <c r="G282" s="18"/>
      <c r="H282" s="19" t="str">
        <f aca="false">TRIM(D282)</f>
        <v>Veg - Amaranth/ rau den</v>
      </c>
    </row>
    <row r="283" customFormat="false" ht="16.4" hidden="false" customHeight="false" outlineLevel="0" collapsed="false">
      <c r="A283" s="20" t="e">
        <f aca="false">1+A282</f>
        <v>#REF!</v>
      </c>
      <c r="B283" s="15" t="n">
        <v>263</v>
      </c>
      <c r="C283" s="15" t="s">
        <v>464</v>
      </c>
      <c r="D283" s="16" t="s">
        <v>465</v>
      </c>
      <c r="E283" s="15" t="s">
        <v>18</v>
      </c>
      <c r="F283" s="17" t="n">
        <v>125000</v>
      </c>
      <c r="G283" s="17"/>
      <c r="H283" s="19" t="str">
        <f aca="false">TRIM(D283)</f>
        <v>Veg - Asparagus Green/Mang Tay</v>
      </c>
    </row>
    <row r="284" customFormat="false" ht="16.4" hidden="false" customHeight="false" outlineLevel="0" collapsed="false">
      <c r="A284" s="20" t="e">
        <f aca="false">1+A283</f>
        <v>#REF!</v>
      </c>
      <c r="B284" s="15" t="n">
        <v>2979</v>
      </c>
      <c r="C284" s="15"/>
      <c r="D284" s="16" t="s">
        <v>466</v>
      </c>
      <c r="E284" s="15" t="s">
        <v>18</v>
      </c>
      <c r="F284" s="17" t="n">
        <v>150000</v>
      </c>
      <c r="G284" s="18"/>
      <c r="H284" s="19" t="str">
        <f aca="false">TRIM(D284)</f>
        <v>Veg - Baby carrot/ Ca rot nho 15-20 cu/kg</v>
      </c>
    </row>
    <row r="285" customFormat="false" ht="16.4" hidden="false" customHeight="false" outlineLevel="0" collapsed="false">
      <c r="A285" s="20" t="e">
        <f aca="false">1+A284</f>
        <v>#REF!</v>
      </c>
      <c r="B285" s="15" t="n">
        <v>256</v>
      </c>
      <c r="C285" s="15"/>
      <c r="D285" s="16" t="s">
        <v>467</v>
      </c>
      <c r="E285" s="15" t="s">
        <v>18</v>
      </c>
      <c r="F285" s="17" t="n">
        <v>200000</v>
      </c>
      <c r="G285" s="18"/>
      <c r="H285" s="19" t="str">
        <f aca="false">TRIM(D285)</f>
        <v>Veg - Baby Corn/Bap Non</v>
      </c>
    </row>
    <row r="286" customFormat="false" ht="16.4" hidden="false" customHeight="false" outlineLevel="0" collapsed="false">
      <c r="A286" s="20" t="e">
        <f aca="false">1+A285</f>
        <v>#REF!</v>
      </c>
      <c r="B286" s="15" t="n">
        <v>2827</v>
      </c>
      <c r="C286" s="15"/>
      <c r="D286" s="16" t="s">
        <v>468</v>
      </c>
      <c r="E286" s="15" t="s">
        <v>18</v>
      </c>
      <c r="F286" s="17" t="n">
        <v>65000</v>
      </c>
      <c r="G286" s="18"/>
      <c r="H286" s="19" t="str">
        <f aca="false">TRIM(D286)</f>
        <v>Veg - Baby Potato/ Khoai tay bi 18-20cu/kg</v>
      </c>
    </row>
    <row r="287" customFormat="false" ht="16.4" hidden="false" customHeight="false" outlineLevel="0" collapsed="false">
      <c r="A287" s="20" t="e">
        <f aca="false">1+A286</f>
        <v>#REF!</v>
      </c>
      <c r="B287" s="15" t="n">
        <v>2564</v>
      </c>
      <c r="C287" s="15"/>
      <c r="D287" s="16" t="s">
        <v>469</v>
      </c>
      <c r="E287" s="15" t="s">
        <v>18</v>
      </c>
      <c r="F287" s="17" t="n">
        <v>40000</v>
      </c>
      <c r="G287" s="18"/>
      <c r="H287" s="19" t="str">
        <f aca="false">TRIM(D287)</f>
        <v>Veg - Bamboo Shoot white/ Mang tuoi trang</v>
      </c>
    </row>
    <row r="288" customFormat="false" ht="16.4" hidden="false" customHeight="false" outlineLevel="0" collapsed="false">
      <c r="A288" s="20" t="e">
        <f aca="false">1+A287</f>
        <v>#REF!</v>
      </c>
      <c r="B288" s="15" t="n">
        <v>286</v>
      </c>
      <c r="C288" s="15" t="s">
        <v>470</v>
      </c>
      <c r="D288" s="16" t="s">
        <v>471</v>
      </c>
      <c r="E288" s="15" t="s">
        <v>18</v>
      </c>
      <c r="F288" s="17" t="n">
        <v>40000</v>
      </c>
      <c r="G288" s="18"/>
      <c r="H288" s="19" t="str">
        <f aca="false">TRIM(D288)</f>
        <v>Veg - Bamboo Shoot yellow/ Mang tuoi vang</v>
      </c>
    </row>
    <row r="289" customFormat="false" ht="16.4" hidden="false" customHeight="false" outlineLevel="0" collapsed="false">
      <c r="A289" s="20" t="e">
        <f aca="false">1+A288</f>
        <v>#REF!</v>
      </c>
      <c r="B289" s="15" t="n">
        <v>130</v>
      </c>
      <c r="C289" s="15"/>
      <c r="D289" s="16" t="s">
        <v>472</v>
      </c>
      <c r="E289" s="15" t="s">
        <v>18</v>
      </c>
      <c r="F289" s="17" t="n">
        <v>50000</v>
      </c>
      <c r="G289" s="18"/>
      <c r="H289" s="19" t="str">
        <f aca="false">TRIM(D289)</f>
        <v>Veg - Banana Flower Sliced/ bap chuoi bao</v>
      </c>
    </row>
    <row r="290" customFormat="false" ht="16.4" hidden="false" customHeight="false" outlineLevel="0" collapsed="false">
      <c r="A290" s="20" t="e">
        <f aca="false">1+A289</f>
        <v>#REF!</v>
      </c>
      <c r="B290" s="15" t="n">
        <v>235</v>
      </c>
      <c r="C290" s="15" t="s">
        <v>473</v>
      </c>
      <c r="D290" s="16" t="s">
        <v>474</v>
      </c>
      <c r="E290" s="15" t="s">
        <v>18</v>
      </c>
      <c r="F290" s="17" t="n">
        <v>40000</v>
      </c>
      <c r="G290" s="18"/>
      <c r="H290" s="19" t="str">
        <f aca="false">TRIM(D290)</f>
        <v>Veg - Banana Leave/ La Chuoi</v>
      </c>
    </row>
    <row r="291" customFormat="false" ht="16.4" hidden="false" customHeight="false" outlineLevel="0" collapsed="false">
      <c r="A291" s="20" t="e">
        <f aca="false">1+A290</f>
        <v>#REF!</v>
      </c>
      <c r="B291" s="15" t="n">
        <v>243</v>
      </c>
      <c r="C291" s="15" t="s">
        <v>475</v>
      </c>
      <c r="D291" s="16" t="s">
        <v>476</v>
      </c>
      <c r="E291" s="15" t="s">
        <v>18</v>
      </c>
      <c r="F291" s="17" t="n">
        <v>50000</v>
      </c>
      <c r="G291" s="18"/>
      <c r="H291" s="19" t="str">
        <f aca="false">TRIM(D291)</f>
        <v>Veg - Bean French / Dau Phap</v>
      </c>
    </row>
    <row r="292" customFormat="false" ht="16.4" hidden="false" customHeight="false" outlineLevel="0" collapsed="false">
      <c r="A292" s="20" t="e">
        <f aca="false">1+A291</f>
        <v>#REF!</v>
      </c>
      <c r="B292" s="15" t="n">
        <v>1783</v>
      </c>
      <c r="C292" s="15" t="s">
        <v>477</v>
      </c>
      <c r="D292" s="16" t="s">
        <v>478</v>
      </c>
      <c r="E292" s="15" t="s">
        <v>18</v>
      </c>
      <c r="F292" s="17" t="n">
        <v>27000</v>
      </c>
      <c r="G292" s="18"/>
      <c r="H292" s="19" t="str">
        <f aca="false">TRIM(D292)</f>
        <v>Veg - Bean Green/Dau Que</v>
      </c>
    </row>
    <row r="293" customFormat="false" ht="16.4" hidden="false" customHeight="false" outlineLevel="0" collapsed="false">
      <c r="A293" s="20" t="e">
        <f aca="false">1+A292</f>
        <v>#REF!</v>
      </c>
      <c r="B293" s="15" t="n">
        <v>214</v>
      </c>
      <c r="C293" s="15" t="s">
        <v>479</v>
      </c>
      <c r="D293" s="16" t="s">
        <v>480</v>
      </c>
      <c r="E293" s="15" t="s">
        <v>18</v>
      </c>
      <c r="F293" s="17" t="n">
        <v>19000</v>
      </c>
      <c r="G293" s="18"/>
      <c r="H293" s="19" t="str">
        <f aca="false">TRIM(D293)</f>
        <v>Veg - Bean Sprout Cleaned/ Gia Do Lam Sach</v>
      </c>
    </row>
    <row r="294" customFormat="false" ht="16.4" hidden="false" customHeight="false" outlineLevel="0" collapsed="false">
      <c r="A294" s="20" t="e">
        <f aca="false">1+A293</f>
        <v>#REF!</v>
      </c>
      <c r="B294" s="15" t="n">
        <v>1784</v>
      </c>
      <c r="C294" s="15"/>
      <c r="D294" s="16" t="s">
        <v>481</v>
      </c>
      <c r="E294" s="15" t="s">
        <v>18</v>
      </c>
      <c r="F294" s="17" t="n">
        <v>25000</v>
      </c>
      <c r="G294" s="18"/>
      <c r="H294" s="19" t="str">
        <f aca="false">TRIM(D294)</f>
        <v>Veg - Beans Long/ dau dua</v>
      </c>
    </row>
    <row r="295" customFormat="false" ht="16.4" hidden="false" customHeight="false" outlineLevel="0" collapsed="false">
      <c r="A295" s="20" t="e">
        <f aca="false">1+A294</f>
        <v>#REF!</v>
      </c>
      <c r="B295" s="15" t="n">
        <v>242</v>
      </c>
      <c r="C295" s="15" t="s">
        <v>482</v>
      </c>
      <c r="D295" s="16" t="s">
        <v>483</v>
      </c>
      <c r="E295" s="15" t="s">
        <v>18</v>
      </c>
      <c r="F295" s="17" t="n">
        <v>28000</v>
      </c>
      <c r="G295" s="18"/>
      <c r="H295" s="19" t="str">
        <f aca="false">TRIM(D295)</f>
        <v>Veg - Beetroot/Cu Den</v>
      </c>
    </row>
    <row r="296" customFormat="false" ht="16.4" hidden="false" customHeight="false" outlineLevel="0" collapsed="false">
      <c r="A296" s="20" t="e">
        <f aca="false">1+A295</f>
        <v>#REF!</v>
      </c>
      <c r="B296" s="15" t="n">
        <v>268</v>
      </c>
      <c r="C296" s="15" t="s">
        <v>484</v>
      </c>
      <c r="D296" s="16" t="s">
        <v>485</v>
      </c>
      <c r="E296" s="15" t="s">
        <v>18</v>
      </c>
      <c r="F296" s="17" t="n">
        <v>12500</v>
      </c>
      <c r="G296" s="17"/>
      <c r="H296" s="19" t="str">
        <f aca="false">TRIM(D296)</f>
        <v>Veg - Cabbage Chinese/Cai Thao</v>
      </c>
    </row>
    <row r="297" customFormat="false" ht="16.4" hidden="false" customHeight="false" outlineLevel="0" collapsed="false">
      <c r="A297" s="20" t="e">
        <f aca="false">1+A296</f>
        <v>#REF!</v>
      </c>
      <c r="B297" s="15" t="n">
        <v>267</v>
      </c>
      <c r="C297" s="15" t="s">
        <v>486</v>
      </c>
      <c r="D297" s="16" t="s">
        <v>487</v>
      </c>
      <c r="E297" s="15" t="s">
        <v>18</v>
      </c>
      <c r="F297" s="17" t="n">
        <v>24000</v>
      </c>
      <c r="G297" s="18"/>
      <c r="H297" s="19" t="str">
        <f aca="false">TRIM(D297)</f>
        <v>Veg - Cabbage Green/Mustard plant/Cai Xanh</v>
      </c>
    </row>
    <row r="298" customFormat="false" ht="16.4" hidden="false" customHeight="false" outlineLevel="0" collapsed="false">
      <c r="A298" s="20" t="e">
        <f aca="false">1+A297</f>
        <v>#REF!</v>
      </c>
      <c r="B298" s="15" t="n">
        <v>271</v>
      </c>
      <c r="C298" s="15" t="s">
        <v>488</v>
      </c>
      <c r="D298" s="16" t="s">
        <v>489</v>
      </c>
      <c r="E298" s="15" t="s">
        <v>18</v>
      </c>
      <c r="F298" s="17" t="n">
        <v>23000</v>
      </c>
      <c r="G298" s="18"/>
      <c r="H298" s="19" t="str">
        <f aca="false">TRIM(D298)</f>
        <v>Veg - Cabbage Purple/ bap cai tim</v>
      </c>
    </row>
    <row r="299" customFormat="false" ht="16.4" hidden="false" customHeight="false" outlineLevel="0" collapsed="false">
      <c r="A299" s="20" t="e">
        <f aca="false">1+A298</f>
        <v>#REF!</v>
      </c>
      <c r="B299" s="15" t="n">
        <v>270</v>
      </c>
      <c r="C299" s="15" t="s">
        <v>490</v>
      </c>
      <c r="D299" s="16" t="s">
        <v>491</v>
      </c>
      <c r="E299" s="15" t="s">
        <v>18</v>
      </c>
      <c r="F299" s="17" t="n">
        <v>23000</v>
      </c>
      <c r="G299" s="18"/>
      <c r="H299" s="19" t="str">
        <f aca="false">TRIM(D299)</f>
        <v>Veg - Cabbage Red/Bap Cai Do</v>
      </c>
    </row>
    <row r="300" customFormat="false" ht="16.4" hidden="false" customHeight="false" outlineLevel="0" collapsed="false">
      <c r="A300" s="20" t="e">
        <f aca="false">1+A299</f>
        <v>#REF!</v>
      </c>
      <c r="B300" s="15" t="n">
        <v>269</v>
      </c>
      <c r="C300" s="15" t="s">
        <v>492</v>
      </c>
      <c r="D300" s="16" t="s">
        <v>493</v>
      </c>
      <c r="E300" s="15" t="s">
        <v>18</v>
      </c>
      <c r="F300" s="17" t="n">
        <v>12500</v>
      </c>
      <c r="G300" s="17"/>
      <c r="H300" s="19" t="str">
        <f aca="false">TRIM(D300)</f>
        <v>Veg - Cabbage Round/Bap Cai tron</v>
      </c>
    </row>
    <row r="301" customFormat="false" ht="16.4" hidden="false" customHeight="false" outlineLevel="0" collapsed="false">
      <c r="A301" s="20" t="e">
        <f aca="false">1+A300</f>
        <v>#REF!</v>
      </c>
      <c r="B301" s="15" t="n">
        <v>272</v>
      </c>
      <c r="C301" s="15" t="s">
        <v>494</v>
      </c>
      <c r="D301" s="16" t="s">
        <v>495</v>
      </c>
      <c r="E301" s="15" t="s">
        <v>18</v>
      </c>
      <c r="F301" s="17" t="n">
        <v>12500</v>
      </c>
      <c r="G301" s="17"/>
      <c r="H301" s="19" t="str">
        <f aca="false">TRIM(D301)</f>
        <v>Veg - Cabbage white/ Bap Cai Trang</v>
      </c>
    </row>
    <row r="302" customFormat="false" ht="16.4" hidden="false" customHeight="false" outlineLevel="0" collapsed="false">
      <c r="A302" s="20" t="e">
        <f aca="false">1+A301</f>
        <v>#REF!</v>
      </c>
      <c r="B302" s="15" t="n">
        <v>223</v>
      </c>
      <c r="C302" s="15" t="s">
        <v>496</v>
      </c>
      <c r="D302" s="16" t="s">
        <v>497</v>
      </c>
      <c r="E302" s="15" t="s">
        <v>18</v>
      </c>
      <c r="F302" s="17" t="n">
        <v>45000</v>
      </c>
      <c r="G302" s="18"/>
      <c r="H302" s="19" t="str">
        <f aca="false">TRIM(D302)</f>
        <v>Veg - Capsicum green / Ot chuong xanh</v>
      </c>
    </row>
    <row r="303" customFormat="false" ht="16.4" hidden="false" customHeight="false" outlineLevel="0" collapsed="false">
      <c r="A303" s="20" t="e">
        <f aca="false">1+A302</f>
        <v>#REF!</v>
      </c>
      <c r="B303" s="15" t="n">
        <v>224</v>
      </c>
      <c r="C303" s="15" t="s">
        <v>498</v>
      </c>
      <c r="D303" s="16" t="s">
        <v>499</v>
      </c>
      <c r="E303" s="15" t="s">
        <v>18</v>
      </c>
      <c r="F303" s="17" t="n">
        <v>45000</v>
      </c>
      <c r="G303" s="18"/>
      <c r="H303" s="19" t="str">
        <f aca="false">TRIM(D303)</f>
        <v>Veg - Capsicum red/ Ot chuong do</v>
      </c>
    </row>
    <row r="304" customFormat="false" ht="16.4" hidden="false" customHeight="false" outlineLevel="0" collapsed="false">
      <c r="A304" s="20" t="e">
        <f aca="false">1+A303</f>
        <v>#REF!</v>
      </c>
      <c r="B304" s="15" t="n">
        <v>225</v>
      </c>
      <c r="C304" s="15" t="s">
        <v>500</v>
      </c>
      <c r="D304" s="16" t="s">
        <v>501</v>
      </c>
      <c r="E304" s="15" t="s">
        <v>18</v>
      </c>
      <c r="F304" s="17" t="n">
        <v>70000</v>
      </c>
      <c r="G304" s="18"/>
      <c r="H304" s="19" t="str">
        <f aca="false">TRIM(D304)</f>
        <v>Veg - Capsicum yellow/ Ot chuong vang</v>
      </c>
    </row>
    <row r="305" customFormat="false" ht="16.4" hidden="false" customHeight="false" outlineLevel="0" collapsed="false">
      <c r="A305" s="20" t="e">
        <f aca="false">1+A304</f>
        <v>#REF!</v>
      </c>
      <c r="B305" s="15" t="n">
        <v>206</v>
      </c>
      <c r="C305" s="15" t="s">
        <v>502</v>
      </c>
      <c r="D305" s="16" t="s">
        <v>503</v>
      </c>
      <c r="E305" s="15" t="s">
        <v>18</v>
      </c>
      <c r="F305" s="17" t="n">
        <v>35000</v>
      </c>
      <c r="G305" s="18"/>
      <c r="H305" s="19" t="str">
        <f aca="false">TRIM(D305)</f>
        <v>Veg - Cassava root/Oppositifolius Yam/ khoai my</v>
      </c>
    </row>
    <row r="306" customFormat="false" ht="16.4" hidden="false" customHeight="false" outlineLevel="0" collapsed="false">
      <c r="A306" s="20" t="e">
        <f aca="false">1+A305</f>
        <v>#REF!</v>
      </c>
      <c r="B306" s="15" t="n">
        <v>309</v>
      </c>
      <c r="C306" s="15" t="s">
        <v>504</v>
      </c>
      <c r="D306" s="16" t="s">
        <v>505</v>
      </c>
      <c r="E306" s="15" t="s">
        <v>18</v>
      </c>
      <c r="F306" s="17" t="n">
        <v>16000</v>
      </c>
      <c r="G306" s="18"/>
      <c r="H306" s="19" t="str">
        <f aca="false">TRIM(D306)</f>
        <v>Veg - Cassava/Cu san tuoi/cu dau</v>
      </c>
    </row>
    <row r="307" customFormat="false" ht="16.4" hidden="false" customHeight="false" outlineLevel="0" collapsed="false">
      <c r="A307" s="20" t="e">
        <f aca="false">1+A306</f>
        <v>#REF!</v>
      </c>
      <c r="B307" s="15" t="n">
        <v>232</v>
      </c>
      <c r="C307" s="15" t="s">
        <v>506</v>
      </c>
      <c r="D307" s="16" t="s">
        <v>507</v>
      </c>
      <c r="E307" s="15" t="s">
        <v>18</v>
      </c>
      <c r="F307" s="17" t="n">
        <v>37000</v>
      </c>
      <c r="G307" s="17"/>
      <c r="H307" s="19" t="str">
        <f aca="false">TRIM(D307)</f>
        <v>Veg - Cauliflower Green/Brocolli/ Bong cai xanh cat cuong</v>
      </c>
    </row>
    <row r="308" customFormat="false" ht="16.4" hidden="false" customHeight="false" outlineLevel="0" collapsed="false">
      <c r="A308" s="20" t="e">
        <f aca="false">1+A307</f>
        <v>#REF!</v>
      </c>
      <c r="B308" s="15" t="n">
        <v>231</v>
      </c>
      <c r="C308" s="15" t="s">
        <v>508</v>
      </c>
      <c r="D308" s="16" t="s">
        <v>509</v>
      </c>
      <c r="E308" s="15" t="s">
        <v>18</v>
      </c>
      <c r="F308" s="17" t="n">
        <v>34000</v>
      </c>
      <c r="G308" s="17"/>
      <c r="H308" s="19" t="str">
        <f aca="false">TRIM(D308)</f>
        <v>Veg - Cauliflower/ Bong cai trang cat cuong</v>
      </c>
    </row>
    <row r="309" customFormat="false" ht="16.4" hidden="false" customHeight="false" outlineLevel="0" collapsed="false">
      <c r="A309" s="20" t="e">
        <f aca="false">1+A308</f>
        <v>#REF!</v>
      </c>
      <c r="B309" s="15" t="n">
        <v>273</v>
      </c>
      <c r="C309" s="15" t="s">
        <v>510</v>
      </c>
      <c r="D309" s="16" t="s">
        <v>511</v>
      </c>
      <c r="E309" s="15" t="s">
        <v>18</v>
      </c>
      <c r="F309" s="17" t="n">
        <v>32000</v>
      </c>
      <c r="G309" s="18"/>
      <c r="H309" s="19" t="str">
        <f aca="false">TRIM(D309)</f>
        <v>Veg - Celery Dalat/ Can Tay Dalat</v>
      </c>
    </row>
    <row r="310" customFormat="false" ht="16.4" hidden="false" customHeight="false" outlineLevel="0" collapsed="false">
      <c r="A310" s="20" t="e">
        <f aca="false">1+A309</f>
        <v>#REF!</v>
      </c>
      <c r="B310" s="15" t="n">
        <v>230</v>
      </c>
      <c r="C310" s="15" t="s">
        <v>512</v>
      </c>
      <c r="D310" s="16" t="s">
        <v>513</v>
      </c>
      <c r="E310" s="15" t="s">
        <v>18</v>
      </c>
      <c r="F310" s="17" t="n">
        <v>13000</v>
      </c>
      <c r="G310" s="18"/>
      <c r="H310" s="19" t="str">
        <f aca="false">TRIM(D310)</f>
        <v>Veg - Chayote/Su Su</v>
      </c>
    </row>
    <row r="311" customFormat="false" ht="16.4" hidden="false" customHeight="false" outlineLevel="0" collapsed="false">
      <c r="A311" s="20" t="e">
        <f aca="false">1+A310</f>
        <v>#REF!</v>
      </c>
      <c r="B311" s="15" t="n">
        <v>226</v>
      </c>
      <c r="C311" s="15" t="s">
        <v>514</v>
      </c>
      <c r="D311" s="16" t="s">
        <v>515</v>
      </c>
      <c r="E311" s="15" t="s">
        <v>18</v>
      </c>
      <c r="F311" s="17" t="n">
        <v>45000</v>
      </c>
      <c r="G311" s="18"/>
      <c r="H311" s="19" t="str">
        <f aca="false">TRIM(D311)</f>
        <v>Veg - Chili big red/ Ot sung do</v>
      </c>
    </row>
    <row r="312" customFormat="false" ht="16.4" hidden="false" customHeight="false" outlineLevel="0" collapsed="false">
      <c r="A312" s="20" t="e">
        <f aca="false">1+A311</f>
        <v>#REF!</v>
      </c>
      <c r="B312" s="15" t="n">
        <v>228</v>
      </c>
      <c r="C312" s="15" t="s">
        <v>516</v>
      </c>
      <c r="D312" s="16" t="s">
        <v>517</v>
      </c>
      <c r="E312" s="15" t="s">
        <v>18</v>
      </c>
      <c r="F312" s="17" t="n">
        <v>70000</v>
      </c>
      <c r="G312" s="17"/>
      <c r="H312" s="19" t="str">
        <f aca="false">TRIM(D312)</f>
        <v>Veg - Chili Green small/ Ot hiem xanh</v>
      </c>
    </row>
    <row r="313" customFormat="false" ht="16.4" hidden="false" customHeight="false" outlineLevel="0" collapsed="false">
      <c r="A313" s="20" t="e">
        <f aca="false">1+A312</f>
        <v>#REF!</v>
      </c>
      <c r="B313" s="15" t="n">
        <v>227</v>
      </c>
      <c r="C313" s="15" t="s">
        <v>518</v>
      </c>
      <c r="D313" s="16" t="s">
        <v>519</v>
      </c>
      <c r="E313" s="15" t="s">
        <v>18</v>
      </c>
      <c r="F313" s="17" t="n">
        <v>50000</v>
      </c>
      <c r="G313" s="18"/>
      <c r="H313" s="19" t="str">
        <f aca="false">TRIM(D313)</f>
        <v>Veg - Chili Red small/ Ot hiem do</v>
      </c>
    </row>
    <row r="314" customFormat="false" ht="16.4" hidden="false" customHeight="false" outlineLevel="0" collapsed="false">
      <c r="A314" s="20" t="e">
        <f aca="false">1+A313</f>
        <v>#REF!</v>
      </c>
      <c r="B314" s="15" t="n">
        <v>287</v>
      </c>
      <c r="C314" s="15" t="s">
        <v>520</v>
      </c>
      <c r="D314" s="16" t="s">
        <v>521</v>
      </c>
      <c r="E314" s="15" t="s">
        <v>18</v>
      </c>
      <c r="F314" s="17" t="n">
        <v>52000</v>
      </c>
      <c r="G314" s="18"/>
      <c r="H314" s="19" t="str">
        <f aca="false">TRIM(D314)</f>
        <v>Veg - Chives/La He</v>
      </c>
    </row>
    <row r="315" customFormat="false" ht="16.4" hidden="false" customHeight="false" outlineLevel="0" collapsed="false">
      <c r="A315" s="20" t="e">
        <f aca="false">1+A314</f>
        <v>#REF!</v>
      </c>
      <c r="B315" s="15" t="n">
        <v>266</v>
      </c>
      <c r="C315" s="15" t="s">
        <v>522</v>
      </c>
      <c r="D315" s="16" t="s">
        <v>523</v>
      </c>
      <c r="E315" s="15" t="s">
        <v>18</v>
      </c>
      <c r="F315" s="17" t="n">
        <v>20000</v>
      </c>
      <c r="G315" s="17"/>
      <c r="H315" s="19" t="str">
        <f aca="false">TRIM(D315)</f>
        <v>Veg - Choy sum/ cai ngot</v>
      </c>
    </row>
    <row r="316" customFormat="false" ht="16.4" hidden="false" customHeight="false" outlineLevel="0" collapsed="false">
      <c r="A316" s="20" t="e">
        <f aca="false">1+A315</f>
        <v>#REF!</v>
      </c>
      <c r="B316" s="15" t="n">
        <v>3833</v>
      </c>
      <c r="C316" s="15"/>
      <c r="D316" s="16" t="s">
        <v>524</v>
      </c>
      <c r="E316" s="15" t="s">
        <v>18</v>
      </c>
      <c r="F316" s="17" t="n">
        <v>19000</v>
      </c>
      <c r="G316" s="18"/>
      <c r="H316" s="19" t="str">
        <f aca="false">TRIM(D316)</f>
        <v>Veg - Choy sum/cai ngong</v>
      </c>
    </row>
    <row r="317" customFormat="false" ht="16.4" hidden="false" customHeight="false" outlineLevel="0" collapsed="false">
      <c r="A317" s="20" t="e">
        <f aca="false">1+A316</f>
        <v>#REF!</v>
      </c>
      <c r="B317" s="15" t="n">
        <v>217</v>
      </c>
      <c r="C317" s="15" t="s">
        <v>525</v>
      </c>
      <c r="D317" s="16" t="s">
        <v>526</v>
      </c>
      <c r="E317" s="15" t="s">
        <v>18</v>
      </c>
      <c r="F317" s="17" t="n">
        <v>30000</v>
      </c>
      <c r="G317" s="17"/>
      <c r="H317" s="19" t="str">
        <f aca="false">TRIM(D317)</f>
        <v>Veg - Cooked Sweet Potato/ Khoai lang luoc</v>
      </c>
    </row>
    <row r="318" customFormat="false" ht="16.4" hidden="false" customHeight="false" outlineLevel="0" collapsed="false">
      <c r="A318" s="20" t="e">
        <f aca="false">1+A317</f>
        <v>#REF!</v>
      </c>
      <c r="B318" s="15" t="n">
        <v>240</v>
      </c>
      <c r="C318" s="15" t="s">
        <v>527</v>
      </c>
      <c r="D318" s="16" t="s">
        <v>528</v>
      </c>
      <c r="E318" s="15" t="s">
        <v>18</v>
      </c>
      <c r="F318" s="17" t="n">
        <v>55000</v>
      </c>
      <c r="G318" s="18"/>
      <c r="H318" s="19" t="str">
        <f aca="false">TRIM(D318)</f>
        <v>Veg - Coriander/Ngo ri</v>
      </c>
    </row>
    <row r="319" customFormat="false" ht="16.4" hidden="false" customHeight="false" outlineLevel="0" collapsed="false">
      <c r="A319" s="20" t="e">
        <f aca="false">1+A318</f>
        <v>#REF!</v>
      </c>
      <c r="B319" s="15" t="n">
        <v>238</v>
      </c>
      <c r="C319" s="15" t="s">
        <v>529</v>
      </c>
      <c r="D319" s="16" t="s">
        <v>530</v>
      </c>
      <c r="E319" s="15" t="s">
        <v>18</v>
      </c>
      <c r="F319" s="17" t="n">
        <v>35000</v>
      </c>
      <c r="G319" s="18"/>
      <c r="H319" s="19" t="str">
        <f aca="false">TRIM(D319)</f>
        <v>Veg - Cress/Can Ta/Can Tau</v>
      </c>
    </row>
    <row r="320" customFormat="false" ht="16.4" hidden="false" customHeight="false" outlineLevel="0" collapsed="false">
      <c r="A320" s="20" t="e">
        <f aca="false">1+A319</f>
        <v>#REF!</v>
      </c>
      <c r="B320" s="15" t="n">
        <v>274</v>
      </c>
      <c r="C320" s="15" t="s">
        <v>531</v>
      </c>
      <c r="D320" s="16" t="s">
        <v>532</v>
      </c>
      <c r="E320" s="15" t="s">
        <v>18</v>
      </c>
      <c r="F320" s="17" t="n">
        <v>19000</v>
      </c>
      <c r="G320" s="17"/>
      <c r="H320" s="19" t="str">
        <f aca="false">TRIM(D320)</f>
        <v>Veg - Cucumber Local/ Dua Leo</v>
      </c>
    </row>
    <row r="321" customFormat="false" ht="16.4" hidden="false" customHeight="false" outlineLevel="0" collapsed="false">
      <c r="A321" s="20" t="e">
        <f aca="false">1+A320</f>
        <v>#REF!</v>
      </c>
      <c r="B321" s="15" t="n">
        <v>307</v>
      </c>
      <c r="C321" s="15" t="s">
        <v>533</v>
      </c>
      <c r="D321" s="16" t="s">
        <v>534</v>
      </c>
      <c r="E321" s="15" t="s">
        <v>18</v>
      </c>
      <c r="F321" s="17" t="n">
        <v>120000</v>
      </c>
      <c r="G321" s="18"/>
      <c r="H321" s="19" t="str">
        <f aca="false">TRIM(D321)</f>
        <v>Veg - Daikon/ Cai mam</v>
      </c>
    </row>
    <row r="322" customFormat="false" ht="16.4" hidden="false" customHeight="false" outlineLevel="0" collapsed="false">
      <c r="A322" s="20" t="e">
        <f aca="false">1+A321</f>
        <v>#REF!</v>
      </c>
      <c r="B322" s="15" t="n">
        <v>247</v>
      </c>
      <c r="C322" s="15"/>
      <c r="D322" s="16" t="s">
        <v>535</v>
      </c>
      <c r="E322" s="15" t="s">
        <v>18</v>
      </c>
      <c r="F322" s="17" t="n">
        <v>160000</v>
      </c>
      <c r="G322" s="18"/>
      <c r="H322" s="19" t="str">
        <f aca="false">TRIM(D322)</f>
        <v>Veg - Dried Ear Fungus/ Moc nhi, Nam meo</v>
      </c>
    </row>
    <row r="323" customFormat="false" ht="16.4" hidden="false" customHeight="false" outlineLevel="0" collapsed="false">
      <c r="A323" s="20" t="e">
        <f aca="false">1+A322</f>
        <v>#REF!</v>
      </c>
      <c r="B323" s="15" t="n">
        <v>236</v>
      </c>
      <c r="C323" s="15" t="s">
        <v>536</v>
      </c>
      <c r="D323" s="16" t="s">
        <v>537</v>
      </c>
      <c r="E323" s="15" t="s">
        <v>18</v>
      </c>
      <c r="F323" s="17" t="n">
        <v>45000</v>
      </c>
      <c r="G323" s="18"/>
      <c r="H323" s="19" t="str">
        <f aca="false">TRIM(D323)</f>
        <v>Veg - Dzoc Mung/Dzoc Mung , Bac ha</v>
      </c>
    </row>
    <row r="324" customFormat="false" ht="16.4" hidden="false" customHeight="false" outlineLevel="0" collapsed="false">
      <c r="A324" s="20" t="e">
        <f aca="false">1+A323</f>
        <v>#REF!</v>
      </c>
      <c r="B324" s="15" t="n">
        <v>1810</v>
      </c>
      <c r="C324" s="15" t="s">
        <v>538</v>
      </c>
      <c r="D324" s="16" t="s">
        <v>539</v>
      </c>
      <c r="E324" s="15" t="s">
        <v>540</v>
      </c>
      <c r="F324" s="17" t="n">
        <v>130000</v>
      </c>
      <c r="G324" s="18"/>
      <c r="H324" s="19" t="str">
        <f aca="false">TRIM(D324)</f>
        <v>Veg - Edible flower / Hoa an duoc (10gr)</v>
      </c>
    </row>
    <row r="325" customFormat="false" ht="16.4" hidden="false" customHeight="false" outlineLevel="0" collapsed="false">
      <c r="A325" s="20" t="e">
        <f aca="false">1+A324</f>
        <v>#REF!</v>
      </c>
      <c r="B325" s="15" t="n">
        <v>229</v>
      </c>
      <c r="C325" s="15" t="s">
        <v>541</v>
      </c>
      <c r="D325" s="16" t="s">
        <v>542</v>
      </c>
      <c r="E325" s="15" t="s">
        <v>18</v>
      </c>
      <c r="F325" s="17" t="n">
        <v>22000</v>
      </c>
      <c r="G325" s="18"/>
      <c r="H325" s="19" t="str">
        <f aca="false">TRIM(D325)</f>
        <v>Veg - Eggplant Long/Ca Tim Dai</v>
      </c>
    </row>
    <row r="326" customFormat="false" ht="16.4" hidden="false" customHeight="false" outlineLevel="0" collapsed="false">
      <c r="A326" s="20" t="e">
        <f aca="false">1+A325</f>
        <v>#REF!</v>
      </c>
      <c r="B326" s="15" t="n">
        <v>3831</v>
      </c>
      <c r="C326" s="15"/>
      <c r="D326" s="16" t="s">
        <v>543</v>
      </c>
      <c r="E326" s="15" t="s">
        <v>18</v>
      </c>
      <c r="F326" s="17" t="n">
        <v>22000</v>
      </c>
      <c r="G326" s="18"/>
      <c r="H326" s="19" t="str">
        <f aca="false">TRIM(D326)</f>
        <v>Veg - Eggplant Round/Ca Tim Tron</v>
      </c>
    </row>
    <row r="327" customFormat="false" ht="16.4" hidden="false" customHeight="false" outlineLevel="0" collapsed="false">
      <c r="A327" s="20" t="e">
        <f aca="false">1+A326</f>
        <v>#REF!</v>
      </c>
      <c r="B327" s="15" t="n">
        <v>1782</v>
      </c>
      <c r="C327" s="15" t="s">
        <v>544</v>
      </c>
      <c r="D327" s="16" t="s">
        <v>545</v>
      </c>
      <c r="E327" s="15" t="s">
        <v>18</v>
      </c>
      <c r="F327" s="17" t="n">
        <v>33000</v>
      </c>
      <c r="G327" s="18"/>
      <c r="H327" s="19" t="str">
        <f aca="false">TRIM(D327)</f>
        <v>Veg - Fermented young bamboo / Mang chua</v>
      </c>
    </row>
    <row r="328" customFormat="false" ht="16.4" hidden="false" customHeight="false" outlineLevel="0" collapsed="false">
      <c r="A328" s="20" t="e">
        <f aca="false">1+A327</f>
        <v>#REF!</v>
      </c>
      <c r="B328" s="15" t="n">
        <v>3732</v>
      </c>
      <c r="C328" s="15"/>
      <c r="D328" s="16" t="s">
        <v>546</v>
      </c>
      <c r="E328" s="15" t="s">
        <v>18</v>
      </c>
      <c r="F328" s="17" t="n">
        <v>45000</v>
      </c>
      <c r="G328" s="18"/>
      <c r="H328" s="19" t="str">
        <f aca="false">TRIM(D328)</f>
        <v>Veg - Fig Leaves/ La Sung</v>
      </c>
    </row>
    <row r="329" customFormat="false" ht="16.4" hidden="false" customHeight="false" outlineLevel="0" collapsed="false">
      <c r="A329" s="20" t="e">
        <f aca="false">1+A328</f>
        <v>#REF!</v>
      </c>
      <c r="B329" s="15" t="n">
        <v>290</v>
      </c>
      <c r="C329" s="15" t="s">
        <v>547</v>
      </c>
      <c r="D329" s="16" t="s">
        <v>548</v>
      </c>
      <c r="E329" s="15" t="s">
        <v>18</v>
      </c>
      <c r="F329" s="17" t="n">
        <v>47000</v>
      </c>
      <c r="G329" s="17"/>
      <c r="H329" s="19" t="str">
        <f aca="false">TRIM(D329)</f>
        <v>Veg - Fresh basil/ Hung que VN</v>
      </c>
    </row>
    <row r="330" customFormat="false" ht="16.4" hidden="false" customHeight="false" outlineLevel="0" collapsed="false">
      <c r="A330" s="20" t="e">
        <f aca="false">1+A329</f>
        <v>#REF!</v>
      </c>
      <c r="B330" s="15" t="n">
        <v>208</v>
      </c>
      <c r="C330" s="15" t="s">
        <v>549</v>
      </c>
      <c r="D330" s="16" t="s">
        <v>550</v>
      </c>
      <c r="E330" s="15" t="s">
        <v>18</v>
      </c>
      <c r="F330" s="17" t="n">
        <v>155000</v>
      </c>
      <c r="G330" s="17"/>
      <c r="H330" s="19" t="str">
        <f aca="false">TRIM(D330)</f>
        <v>Veg - Fresh Oyster mushroom/ Nam bao ngu tuoi</v>
      </c>
    </row>
    <row r="331" customFormat="false" ht="16.4" hidden="false" customHeight="false" outlineLevel="0" collapsed="false">
      <c r="A331" s="20" t="e">
        <f aca="false">1+A330</f>
        <v>#REF!</v>
      </c>
      <c r="B331" s="15" t="n">
        <v>297</v>
      </c>
      <c r="C331" s="15" t="s">
        <v>551</v>
      </c>
      <c r="D331" s="16" t="s">
        <v>552</v>
      </c>
      <c r="E331" s="15" t="s">
        <v>18</v>
      </c>
      <c r="F331" s="17" t="n">
        <v>55000</v>
      </c>
      <c r="G331" s="18"/>
      <c r="H331" s="19" t="str">
        <f aca="false">TRIM(D331)</f>
        <v>Veg - fresh tarragon/ Rau Thom</v>
      </c>
    </row>
    <row r="332" customFormat="false" ht="16.4" hidden="false" customHeight="false" outlineLevel="0" collapsed="false">
      <c r="A332" s="20" t="e">
        <f aca="false">1+A331</f>
        <v>#REF!</v>
      </c>
      <c r="B332" s="15" t="n">
        <v>292</v>
      </c>
      <c r="C332" s="15" t="s">
        <v>553</v>
      </c>
      <c r="D332" s="16" t="s">
        <v>554</v>
      </c>
      <c r="E332" s="15" t="s">
        <v>18</v>
      </c>
      <c r="F332" s="17" t="n">
        <v>240000</v>
      </c>
      <c r="G332" s="18"/>
      <c r="H332" s="19" t="str">
        <f aca="false">TRIM(D332)</f>
        <v>Veg - Fresh Western basil/ Hung que tay</v>
      </c>
    </row>
    <row r="333" customFormat="false" ht="16.4" hidden="false" customHeight="false" outlineLevel="0" collapsed="false">
      <c r="A333" s="20" t="e">
        <f aca="false">1+A332</f>
        <v>#REF!</v>
      </c>
      <c r="B333" s="15" t="n">
        <v>212</v>
      </c>
      <c r="C333" s="15" t="s">
        <v>555</v>
      </c>
      <c r="D333" s="16" t="s">
        <v>556</v>
      </c>
      <c r="E333" s="15" t="s">
        <v>18</v>
      </c>
      <c r="F333" s="17" t="n">
        <v>24000</v>
      </c>
      <c r="G333" s="18"/>
      <c r="H333" s="19" t="str">
        <f aca="false">TRIM(D333)</f>
        <v>Veg - Garlard Chrysanthemum/ Rau tan o, cai cuc</v>
      </c>
    </row>
    <row r="334" customFormat="false" ht="16.4" hidden="false" customHeight="false" outlineLevel="0" collapsed="false">
      <c r="A334" s="20" t="e">
        <f aca="false">1+A333</f>
        <v>#REF!</v>
      </c>
      <c r="B334" s="15" t="n">
        <v>253</v>
      </c>
      <c r="C334" s="15" t="s">
        <v>557</v>
      </c>
      <c r="D334" s="16" t="s">
        <v>558</v>
      </c>
      <c r="E334" s="15" t="s">
        <v>18</v>
      </c>
      <c r="F334" s="17" t="n">
        <v>57000</v>
      </c>
      <c r="G334" s="17"/>
      <c r="H334" s="19" t="str">
        <f aca="false">TRIM(D334)</f>
        <v>Veg - Garlic peeled/ toi lot vo</v>
      </c>
    </row>
    <row r="335" customFormat="false" ht="16.4" hidden="false" customHeight="false" outlineLevel="0" collapsed="false">
      <c r="A335" s="20" t="e">
        <f aca="false">1+A334</f>
        <v>#REF!</v>
      </c>
      <c r="B335" s="15" t="n">
        <v>329</v>
      </c>
      <c r="C335" s="15" t="s">
        <v>559</v>
      </c>
      <c r="D335" s="16" t="s">
        <v>560</v>
      </c>
      <c r="E335" s="15" t="s">
        <v>18</v>
      </c>
      <c r="F335" s="17" t="n">
        <v>50000</v>
      </c>
      <c r="G335" s="18"/>
      <c r="H335" s="19" t="str">
        <f aca="false">TRIM(D335)</f>
        <v>Veg - Garlic whole/ Toi nguyen cu</v>
      </c>
    </row>
    <row r="336" customFormat="false" ht="16.4" hidden="false" customHeight="false" outlineLevel="0" collapsed="false">
      <c r="A336" s="20" t="e">
        <f aca="false">1+A335</f>
        <v>#REF!</v>
      </c>
      <c r="B336" s="15" t="n">
        <v>462</v>
      </c>
      <c r="C336" s="15" t="s">
        <v>561</v>
      </c>
      <c r="D336" s="16" t="s">
        <v>562</v>
      </c>
      <c r="E336" s="15" t="s">
        <v>18</v>
      </c>
      <c r="F336" s="17" t="n">
        <v>34000</v>
      </c>
      <c r="G336" s="18"/>
      <c r="H336" s="19" t="str">
        <f aca="false">TRIM(D336)</f>
        <v>Veg - Ginger Peeled/Cu Gung</v>
      </c>
    </row>
    <row r="337" customFormat="false" ht="16.4" hidden="false" customHeight="false" outlineLevel="0" collapsed="false">
      <c r="A337" s="20" t="e">
        <f aca="false">1+A336</f>
        <v>#REF!</v>
      </c>
      <c r="B337" s="15" t="n">
        <v>260</v>
      </c>
      <c r="C337" s="15" t="s">
        <v>563</v>
      </c>
      <c r="D337" s="16" t="s">
        <v>564</v>
      </c>
      <c r="E337" s="15" t="s">
        <v>18</v>
      </c>
      <c r="F337" s="17" t="n">
        <v>19000</v>
      </c>
      <c r="G337" s="18"/>
      <c r="H337" s="19" t="str">
        <f aca="false">TRIM(D337)</f>
        <v>Veg - Gourd Local /Bau Dia Phuong</v>
      </c>
    </row>
    <row r="338" customFormat="false" ht="16.4" hidden="false" customHeight="false" outlineLevel="0" collapsed="false">
      <c r="A338" s="20" t="e">
        <f aca="false">1+A337</f>
        <v>#REF!</v>
      </c>
      <c r="B338" s="15" t="n">
        <v>306</v>
      </c>
      <c r="C338" s="15" t="s">
        <v>565</v>
      </c>
      <c r="D338" s="16" t="s">
        <v>566</v>
      </c>
      <c r="E338" s="15" t="s">
        <v>18</v>
      </c>
      <c r="F338" s="17" t="n">
        <v>23000</v>
      </c>
      <c r="G338" s="18"/>
      <c r="H338" s="19" t="str">
        <f aca="false">TRIM(D338)</f>
        <v>Veg - Green apple Eggplant/ Ca phao</v>
      </c>
    </row>
    <row r="339" customFormat="false" ht="16.4" hidden="false" customHeight="false" outlineLevel="0" collapsed="false">
      <c r="A339" s="20" t="e">
        <f aca="false">1+A338</f>
        <v>#REF!</v>
      </c>
      <c r="B339" s="15" t="n">
        <v>2380</v>
      </c>
      <c r="C339" s="15"/>
      <c r="D339" s="16" t="s">
        <v>567</v>
      </c>
      <c r="E339" s="15" t="s">
        <v>18</v>
      </c>
      <c r="F339" s="17" t="n">
        <v>130000</v>
      </c>
      <c r="G339" s="18"/>
      <c r="H339" s="19" t="str">
        <f aca="false">TRIM(D339)</f>
        <v>Veg - Green Bean Ha Lan/ Dau Ha Lan Xanh</v>
      </c>
    </row>
    <row r="340" customFormat="false" ht="16.4" hidden="false" customHeight="false" outlineLevel="0" collapsed="false">
      <c r="A340" s="20" t="e">
        <f aca="false">1+A339</f>
        <v>#REF!</v>
      </c>
      <c r="B340" s="15" t="n">
        <v>241</v>
      </c>
      <c r="C340" s="15" t="s">
        <v>568</v>
      </c>
      <c r="D340" s="16" t="s">
        <v>569</v>
      </c>
      <c r="E340" s="15" t="s">
        <v>18</v>
      </c>
      <c r="F340" s="17" t="n">
        <v>47000</v>
      </c>
      <c r="G340" s="18"/>
      <c r="H340" s="19" t="str">
        <f aca="false">TRIM(D340)</f>
        <v>Veg - Heartleaf/ Rau Diep Ca</v>
      </c>
    </row>
    <row r="341" customFormat="false" ht="16.4" hidden="false" customHeight="false" outlineLevel="0" collapsed="false">
      <c r="A341" s="20" t="e">
        <f aca="false">1+A340</f>
        <v>#REF!</v>
      </c>
      <c r="B341" s="15" t="n">
        <v>289</v>
      </c>
      <c r="C341" s="15" t="s">
        <v>570</v>
      </c>
      <c r="D341" s="16" t="s">
        <v>571</v>
      </c>
      <c r="E341" s="15" t="s">
        <v>18</v>
      </c>
      <c r="F341" s="17" t="n">
        <v>55000</v>
      </c>
      <c r="G341" s="18"/>
      <c r="H341" s="19" t="str">
        <f aca="false">TRIM(D341)</f>
        <v>Veg - Herb-dill/ thi la</v>
      </c>
    </row>
    <row r="342" customFormat="false" ht="16.4" hidden="false" customHeight="false" outlineLevel="0" collapsed="false">
      <c r="A342" s="20" t="e">
        <f aca="false">1+A341</f>
        <v>#REF!</v>
      </c>
      <c r="B342" s="15" t="n">
        <v>296</v>
      </c>
      <c r="C342" s="15"/>
      <c r="D342" s="16" t="s">
        <v>572</v>
      </c>
      <c r="E342" s="15" t="s">
        <v>18</v>
      </c>
      <c r="F342" s="17" t="n">
        <v>35000</v>
      </c>
      <c r="G342" s="18"/>
      <c r="H342" s="19" t="str">
        <f aca="false">TRIM(D342)</f>
        <v>Veg - Herb-kayang/ Rau ngo, Ngo om</v>
      </c>
    </row>
    <row r="343" customFormat="false" ht="16.4" hidden="false" customHeight="false" outlineLevel="0" collapsed="false">
      <c r="A343" s="20" t="e">
        <f aca="false">1+A342</f>
        <v>#REF!</v>
      </c>
      <c r="B343" s="15" t="n">
        <v>293</v>
      </c>
      <c r="C343" s="15" t="s">
        <v>573</v>
      </c>
      <c r="D343" s="16" t="s">
        <v>574</v>
      </c>
      <c r="E343" s="15" t="s">
        <v>18</v>
      </c>
      <c r="F343" s="17" t="n">
        <v>30000</v>
      </c>
      <c r="G343" s="18"/>
      <c r="H343" s="19" t="str">
        <f aca="false">TRIM(D343)</f>
        <v>Veg - Herb-laksa leaves/ rau ram</v>
      </c>
    </row>
    <row r="344" customFormat="false" ht="16.4" hidden="false" customHeight="false" outlineLevel="0" collapsed="false">
      <c r="A344" s="20" t="e">
        <f aca="false">1+A343</f>
        <v>#REF!</v>
      </c>
      <c r="B344" s="15" t="n">
        <v>294</v>
      </c>
      <c r="C344" s="15" t="s">
        <v>575</v>
      </c>
      <c r="D344" s="16" t="s">
        <v>576</v>
      </c>
      <c r="E344" s="15" t="s">
        <v>18</v>
      </c>
      <c r="F344" s="17" t="n">
        <v>80000</v>
      </c>
      <c r="G344" s="18"/>
      <c r="H344" s="19" t="str">
        <f aca="false">TRIM(D344)</f>
        <v>Veg - Herb-mint leaves/ hung lui</v>
      </c>
    </row>
    <row r="345" customFormat="false" ht="16.4" hidden="false" customHeight="false" outlineLevel="0" collapsed="false">
      <c r="A345" s="20" t="e">
        <f aca="false">1+A344</f>
        <v>#REF!</v>
      </c>
      <c r="B345" s="15" t="n">
        <v>288</v>
      </c>
      <c r="C345" s="15" t="s">
        <v>577</v>
      </c>
      <c r="D345" s="16" t="s">
        <v>578</v>
      </c>
      <c r="E345" s="15" t="s">
        <v>18</v>
      </c>
      <c r="F345" s="17" t="n">
        <v>80000</v>
      </c>
      <c r="G345" s="18"/>
      <c r="H345" s="19" t="str">
        <f aca="false">TRIM(D345)</f>
        <v>Veg - Herb-parsley/Ngo tay</v>
      </c>
    </row>
    <row r="346" customFormat="false" ht="16.4" hidden="false" customHeight="false" outlineLevel="0" collapsed="false">
      <c r="A346" s="20" t="e">
        <f aca="false">1+A345</f>
        <v>#REF!</v>
      </c>
      <c r="B346" s="15" t="n">
        <v>295</v>
      </c>
      <c r="C346" s="15" t="s">
        <v>579</v>
      </c>
      <c r="D346" s="16" t="s">
        <v>580</v>
      </c>
      <c r="E346" s="15" t="s">
        <v>18</v>
      </c>
      <c r="F346" s="17" t="n">
        <v>55000</v>
      </c>
      <c r="G346" s="18"/>
      <c r="H346" s="19" t="str">
        <f aca="false">TRIM(D346)</f>
        <v>Veg - Herb-saw coriander/eryngo/ Ngo gai</v>
      </c>
    </row>
    <row r="347" customFormat="false" ht="16.4" hidden="false" customHeight="false" outlineLevel="0" collapsed="false">
      <c r="A347" s="20" t="e">
        <f aca="false">1+A346</f>
        <v>#REF!</v>
      </c>
      <c r="B347" s="15" t="n">
        <v>234</v>
      </c>
      <c r="C347" s="15" t="s">
        <v>581</v>
      </c>
      <c r="D347" s="16" t="s">
        <v>582</v>
      </c>
      <c r="E347" s="15" t="s">
        <v>18</v>
      </c>
      <c r="F347" s="17" t="n">
        <v>15000</v>
      </c>
      <c r="G347" s="17"/>
      <c r="H347" s="19" t="str">
        <f aca="false">TRIM(D347)</f>
        <v>Veg - Kang Kong/ Rau Muong</v>
      </c>
    </row>
    <row r="348" customFormat="false" ht="16.4" hidden="false" customHeight="false" outlineLevel="0" collapsed="false">
      <c r="A348" s="20" t="e">
        <f aca="false">1+A347</f>
        <v>#REF!</v>
      </c>
      <c r="B348" s="15" t="n">
        <v>427</v>
      </c>
      <c r="C348" s="15" t="s">
        <v>583</v>
      </c>
      <c r="D348" s="16" t="s">
        <v>584</v>
      </c>
      <c r="E348" s="15" t="s">
        <v>18</v>
      </c>
      <c r="F348" s="17" t="n">
        <v>130000</v>
      </c>
      <c r="G348" s="18"/>
      <c r="H348" s="19" t="str">
        <f aca="false">TRIM(D348)</f>
        <v>Veg - Kim chi/ Kim Chi</v>
      </c>
    </row>
    <row r="349" customFormat="false" ht="16.4" hidden="false" customHeight="false" outlineLevel="0" collapsed="false">
      <c r="A349" s="20" t="e">
        <f aca="false">1+A348</f>
        <v>#REF!</v>
      </c>
      <c r="B349" s="15" t="n">
        <v>264</v>
      </c>
      <c r="C349" s="15" t="s">
        <v>585</v>
      </c>
      <c r="D349" s="16" t="s">
        <v>586</v>
      </c>
      <c r="E349" s="15" t="s">
        <v>18</v>
      </c>
      <c r="F349" s="17" t="n">
        <v>18000</v>
      </c>
      <c r="G349" s="18"/>
      <c r="H349" s="19" t="str">
        <f aca="false">TRIM(D349)</f>
        <v>Veg - Kohlrabi/ Su Hao</v>
      </c>
    </row>
    <row r="350" customFormat="false" ht="16.4" hidden="false" customHeight="false" outlineLevel="0" collapsed="false">
      <c r="A350" s="20" t="e">
        <f aca="false">1+A349</f>
        <v>#REF!</v>
      </c>
      <c r="B350" s="15" t="n">
        <v>300</v>
      </c>
      <c r="C350" s="15" t="s">
        <v>587</v>
      </c>
      <c r="D350" s="16" t="s">
        <v>588</v>
      </c>
      <c r="E350" s="15" t="s">
        <v>18</v>
      </c>
      <c r="F350" s="17" t="n">
        <v>45000</v>
      </c>
      <c r="G350" s="18"/>
      <c r="H350" s="19" t="str">
        <f aca="false">TRIM(D350)</f>
        <v>Veg - Lady finger (Okra)/ Dau bap</v>
      </c>
    </row>
    <row r="351" customFormat="false" ht="16.4" hidden="false" customHeight="false" outlineLevel="0" collapsed="false">
      <c r="A351" s="20" t="e">
        <f aca="false">1+A350</f>
        <v>#REF!</v>
      </c>
      <c r="B351" s="15" t="n">
        <v>1953</v>
      </c>
      <c r="C351" s="15"/>
      <c r="D351" s="16" t="s">
        <v>589</v>
      </c>
      <c r="E351" s="15" t="s">
        <v>18</v>
      </c>
      <c r="F351" s="17" t="n">
        <v>50000</v>
      </c>
      <c r="G351" s="18"/>
      <c r="H351" s="19" t="str">
        <f aca="false">TRIM(D351)</f>
        <v>Veg - Large Leek/ Toi Tay</v>
      </c>
    </row>
    <row r="352" customFormat="false" ht="16.4" hidden="false" customHeight="false" outlineLevel="0" collapsed="false">
      <c r="A352" s="20" t="e">
        <f aca="false">1+A351</f>
        <v>#REF!</v>
      </c>
      <c r="B352" s="15" t="n">
        <v>298</v>
      </c>
      <c r="C352" s="15" t="s">
        <v>590</v>
      </c>
      <c r="D352" s="16" t="s">
        <v>591</v>
      </c>
      <c r="E352" s="15" t="s">
        <v>18</v>
      </c>
      <c r="F352" s="17" t="n">
        <v>30000</v>
      </c>
      <c r="G352" s="17"/>
      <c r="H352" s="19" t="str">
        <f aca="false">TRIM(D352)</f>
        <v>Veg - Leaves pandan/ la dua</v>
      </c>
    </row>
    <row r="353" customFormat="false" ht="16.4" hidden="false" customHeight="false" outlineLevel="0" collapsed="false">
      <c r="A353" s="20" t="e">
        <f aca="false">1+A352</f>
        <v>#REF!</v>
      </c>
      <c r="B353" s="15" t="n">
        <v>255</v>
      </c>
      <c r="C353" s="15" t="s">
        <v>592</v>
      </c>
      <c r="D353" s="16" t="s">
        <v>593</v>
      </c>
      <c r="E353" s="15" t="s">
        <v>18</v>
      </c>
      <c r="F353" s="17" t="n">
        <v>22000</v>
      </c>
      <c r="G353" s="17"/>
      <c r="H353" s="19" t="str">
        <f aca="false">TRIM(D353)</f>
        <v>Veg - Lemon Grass/ Cu Xa</v>
      </c>
    </row>
    <row r="354" customFormat="false" ht="16.4" hidden="false" customHeight="false" outlineLevel="0" collapsed="false">
      <c r="A354" s="20" t="e">
        <f aca="false">1+A353</f>
        <v>#REF!</v>
      </c>
      <c r="B354" s="15" t="n">
        <v>299</v>
      </c>
      <c r="C354" s="15" t="s">
        <v>594</v>
      </c>
      <c r="D354" s="16" t="s">
        <v>595</v>
      </c>
      <c r="E354" s="15" t="s">
        <v>18</v>
      </c>
      <c r="F354" s="17" t="n">
        <v>17000</v>
      </c>
      <c r="G354" s="17"/>
      <c r="H354" s="19" t="str">
        <f aca="false">TRIM(D354)</f>
        <v>Veg - Lemongrass/ Cu sa</v>
      </c>
    </row>
    <row r="355" customFormat="false" ht="16.4" hidden="false" customHeight="false" outlineLevel="0" collapsed="false">
      <c r="A355" s="20" t="e">
        <f aca="false">1+A354</f>
        <v>#REF!</v>
      </c>
      <c r="B355" s="15" t="n">
        <v>282</v>
      </c>
      <c r="C355" s="15" t="s">
        <v>596</v>
      </c>
      <c r="D355" s="16" t="s">
        <v>597</v>
      </c>
      <c r="E355" s="15" t="s">
        <v>18</v>
      </c>
      <c r="F355" s="17" t="n">
        <v>100000</v>
      </c>
      <c r="G355" s="17"/>
      <c r="H355" s="19" t="str">
        <f aca="false">TRIM(D355)</f>
        <v>Veg - Lettuce Lolo Tim/Xa Lach Lolo Tim</v>
      </c>
    </row>
    <row r="356" customFormat="false" ht="16.4" hidden="false" customHeight="false" outlineLevel="0" collapsed="false">
      <c r="A356" s="20" t="e">
        <f aca="false">1+A355</f>
        <v>#REF!</v>
      </c>
      <c r="B356" s="15" t="n">
        <v>285</v>
      </c>
      <c r="C356" s="15" t="s">
        <v>598</v>
      </c>
      <c r="D356" s="16" t="s">
        <v>599</v>
      </c>
      <c r="E356" s="15" t="s">
        <v>18</v>
      </c>
      <c r="F356" s="17" t="n">
        <v>175000</v>
      </c>
      <c r="G356" s="17"/>
      <c r="H356" s="19" t="str">
        <f aca="false">TRIM(D356)</f>
        <v>Veg - Lettuce- Rocket/ xa lach Rocket</v>
      </c>
    </row>
    <row r="357" customFormat="false" ht="16.4" hidden="false" customHeight="false" outlineLevel="0" collapsed="false">
      <c r="A357" s="20" t="e">
        <f aca="false">1+A356</f>
        <v>#REF!</v>
      </c>
      <c r="B357" s="15" t="n">
        <v>284</v>
      </c>
      <c r="C357" s="15" t="s">
        <v>600</v>
      </c>
      <c r="D357" s="16" t="s">
        <v>601</v>
      </c>
      <c r="E357" s="15" t="s">
        <v>18</v>
      </c>
      <c r="F357" s="17" t="n">
        <v>90000</v>
      </c>
      <c r="G357" s="18"/>
      <c r="H357" s="19" t="str">
        <f aca="false">TRIM(D357)</f>
        <v>Veg - Lettuce-Frisse/ Xa lach xoan Frisse</v>
      </c>
    </row>
    <row r="358" customFormat="false" ht="16.4" hidden="false" customHeight="false" outlineLevel="0" collapsed="false">
      <c r="A358" s="20" t="e">
        <f aca="false">1+A357</f>
        <v>#REF!</v>
      </c>
      <c r="B358" s="15" t="n">
        <v>281</v>
      </c>
      <c r="C358" s="15" t="s">
        <v>602</v>
      </c>
      <c r="D358" s="16" t="s">
        <v>603</v>
      </c>
      <c r="E358" s="15" t="s">
        <v>18</v>
      </c>
      <c r="F358" s="17" t="n">
        <v>28000</v>
      </c>
      <c r="G358" s="17"/>
      <c r="H358" s="19" t="str">
        <f aca="false">TRIM(D358)</f>
        <v>Veg - Lettuce-green lollo/Xa Lach Lolo Xanh</v>
      </c>
    </row>
    <row r="359" customFormat="false" ht="16.4" hidden="false" customHeight="false" outlineLevel="0" collapsed="false">
      <c r="A359" s="20" t="e">
        <f aca="false">1+A358</f>
        <v>#REF!</v>
      </c>
      <c r="B359" s="15" t="n">
        <v>280</v>
      </c>
      <c r="C359" s="15" t="s">
        <v>604</v>
      </c>
      <c r="D359" s="16" t="s">
        <v>605</v>
      </c>
      <c r="E359" s="15" t="s">
        <v>18</v>
      </c>
      <c r="F359" s="17" t="n">
        <v>115000</v>
      </c>
      <c r="G359" s="17"/>
      <c r="H359" s="19" t="str">
        <f aca="false">TRIM(D359)</f>
        <v>Veg - Lettuce-radicchio/Xa Lach cuon tim</v>
      </c>
    </row>
    <row r="360" customFormat="false" ht="16.4" hidden="false" customHeight="false" outlineLevel="0" collapsed="false">
      <c r="A360" s="20" t="e">
        <f aca="false">1+A359</f>
        <v>#REF!</v>
      </c>
      <c r="B360" s="15" t="n">
        <v>283</v>
      </c>
      <c r="C360" s="15" t="s">
        <v>606</v>
      </c>
      <c r="D360" s="16" t="s">
        <v>607</v>
      </c>
      <c r="E360" s="15" t="s">
        <v>18</v>
      </c>
      <c r="F360" s="17"/>
      <c r="G360" s="17"/>
      <c r="H360" s="19" t="str">
        <f aca="false">TRIM(D360)</f>
        <v>Veg - Lettuce-Romaine/ Xa lach Ro main</v>
      </c>
    </row>
    <row r="361" customFormat="false" ht="16.4" hidden="false" customHeight="false" outlineLevel="0" collapsed="false">
      <c r="A361" s="20" t="e">
        <f aca="false">1+A360</f>
        <v>#REF!</v>
      </c>
      <c r="B361" s="15" t="n">
        <v>302</v>
      </c>
      <c r="C361" s="15" t="s">
        <v>608</v>
      </c>
      <c r="D361" s="16" t="s">
        <v>609</v>
      </c>
      <c r="E361" s="15" t="s">
        <v>18</v>
      </c>
      <c r="F361" s="17" t="n">
        <v>75000</v>
      </c>
      <c r="G361" s="18"/>
      <c r="H361" s="19" t="str">
        <f aca="false">TRIM(D361)</f>
        <v>Veg - Lime Leaves/La Chanh</v>
      </c>
    </row>
    <row r="362" customFormat="false" ht="16.4" hidden="false" customHeight="false" outlineLevel="0" collapsed="false">
      <c r="A362" s="20" t="e">
        <f aca="false">1+A361</f>
        <v>#REF!</v>
      </c>
      <c r="B362" s="15" t="n">
        <v>310</v>
      </c>
      <c r="C362" s="15" t="s">
        <v>610</v>
      </c>
      <c r="D362" s="16" t="s">
        <v>611</v>
      </c>
      <c r="E362" s="15" t="s">
        <v>18</v>
      </c>
      <c r="F362" s="17" t="n">
        <v>60000</v>
      </c>
      <c r="G362" s="18"/>
      <c r="H362" s="19" t="str">
        <f aca="false">TRIM(D362)</f>
        <v>Veg - Local Lotus Root/Cu sen</v>
      </c>
    </row>
    <row r="363" customFormat="false" ht="16.4" hidden="false" customHeight="false" outlineLevel="0" collapsed="false">
      <c r="A363" s="20" t="e">
        <f aca="false">1+A362</f>
        <v>#REF!</v>
      </c>
      <c r="B363" s="15" t="n">
        <v>209</v>
      </c>
      <c r="C363" s="15" t="s">
        <v>612</v>
      </c>
      <c r="D363" s="16" t="s">
        <v>613</v>
      </c>
      <c r="E363" s="15" t="s">
        <v>18</v>
      </c>
      <c r="F363" s="17" t="n">
        <v>75000</v>
      </c>
      <c r="G363" s="18"/>
      <c r="H363" s="19" t="str">
        <f aca="false">TRIM(D363)</f>
        <v>Veg - Lotus Root/ ngo sen che</v>
      </c>
    </row>
    <row r="364" customFormat="false" ht="16.4" hidden="false" customHeight="false" outlineLevel="0" collapsed="false">
      <c r="A364" s="20" t="e">
        <f aca="false">1+A363</f>
        <v>#REF!</v>
      </c>
      <c r="B364" s="15" t="n">
        <v>277</v>
      </c>
      <c r="C364" s="15" t="s">
        <v>614</v>
      </c>
      <c r="D364" s="16" t="s">
        <v>615</v>
      </c>
      <c r="E364" s="15" t="s">
        <v>18</v>
      </c>
      <c r="F364" s="17" t="n">
        <v>300000</v>
      </c>
      <c r="G364" s="18"/>
      <c r="H364" s="19" t="str">
        <f aca="false">TRIM(D364)</f>
        <v>Veg - Lotus Seed Fresh/Hat Sen Tuoi</v>
      </c>
    </row>
    <row r="365" customFormat="false" ht="16.4" hidden="false" customHeight="false" outlineLevel="0" collapsed="false">
      <c r="A365" s="20" t="e">
        <f aca="false">1+A364</f>
        <v>#REF!</v>
      </c>
      <c r="B365" s="15" t="n">
        <v>304</v>
      </c>
      <c r="C365" s="15" t="s">
        <v>616</v>
      </c>
      <c r="D365" s="16" t="s">
        <v>617</v>
      </c>
      <c r="E365" s="15" t="s">
        <v>18</v>
      </c>
      <c r="F365" s="17" t="n">
        <v>140000</v>
      </c>
      <c r="G365" s="18"/>
      <c r="H365" s="19" t="str">
        <f aca="false">TRIM(D365)</f>
        <v>Veg - M/room - shitake mushroom fresh/Nam dong co tuoi</v>
      </c>
    </row>
    <row r="366" customFormat="false" ht="16.4" hidden="false" customHeight="false" outlineLevel="0" collapsed="false">
      <c r="A366" s="20" t="e">
        <f aca="false">1+A365</f>
        <v>#REF!</v>
      </c>
      <c r="B366" s="15" t="n">
        <v>246</v>
      </c>
      <c r="C366" s="15" t="s">
        <v>618</v>
      </c>
      <c r="D366" s="16" t="s">
        <v>619</v>
      </c>
      <c r="E366" s="15" t="s">
        <v>18</v>
      </c>
      <c r="F366" s="17" t="n">
        <v>58000</v>
      </c>
      <c r="G366" s="18"/>
      <c r="H366" s="19" t="str">
        <f aca="false">TRIM(D366)</f>
        <v>Veg - M/room -chicken thigh/ Nam dui ga</v>
      </c>
    </row>
    <row r="367" customFormat="false" ht="16.4" hidden="false" customHeight="false" outlineLevel="0" collapsed="false">
      <c r="A367" s="20" t="e">
        <f aca="false">1+A366</f>
        <v>#REF!</v>
      </c>
      <c r="B367" s="15" t="n">
        <v>303</v>
      </c>
      <c r="C367" s="15" t="s">
        <v>620</v>
      </c>
      <c r="D367" s="16" t="s">
        <v>621</v>
      </c>
      <c r="E367" s="15" t="s">
        <v>18</v>
      </c>
      <c r="F367" s="17" t="n">
        <v>55000</v>
      </c>
      <c r="G367" s="18"/>
      <c r="H367" s="19" t="str">
        <f aca="false">TRIM(D367)</f>
        <v>Veg - M/room- enoki mushroom/nam kim cham</v>
      </c>
    </row>
    <row r="368" customFormat="false" ht="16.4" hidden="false" customHeight="false" outlineLevel="0" collapsed="false">
      <c r="A368" s="20" t="e">
        <f aca="false">1+A367</f>
        <v>#REF!</v>
      </c>
      <c r="B368" s="15" t="n">
        <v>221</v>
      </c>
      <c r="C368" s="15" t="s">
        <v>622</v>
      </c>
      <c r="D368" s="16" t="s">
        <v>623</v>
      </c>
      <c r="E368" s="15" t="s">
        <v>18</v>
      </c>
      <c r="F368" s="17" t="n">
        <v>45000</v>
      </c>
      <c r="G368" s="18"/>
      <c r="H368" s="19" t="str">
        <f aca="false">TRIM(D368)</f>
        <v>Veg - Marjoram/Kinh Gioi</v>
      </c>
    </row>
    <row r="369" customFormat="false" ht="16.4" hidden="false" customHeight="false" outlineLevel="0" collapsed="false">
      <c r="A369" s="20" t="e">
        <f aca="false">1+A368</f>
        <v>#REF!</v>
      </c>
      <c r="B369" s="15" t="n">
        <v>239</v>
      </c>
      <c r="C369" s="15" t="s">
        <v>624</v>
      </c>
      <c r="D369" s="16" t="s">
        <v>625</v>
      </c>
      <c r="E369" s="15" t="s">
        <v>18</v>
      </c>
      <c r="F369" s="17" t="n">
        <v>40000</v>
      </c>
      <c r="G369" s="18"/>
      <c r="H369" s="19" t="str">
        <f aca="false">TRIM(D369)</f>
        <v>Veg - Ngot/Rau Ngot</v>
      </c>
    </row>
    <row r="370" customFormat="false" ht="16.4" hidden="false" customHeight="false" outlineLevel="0" collapsed="false">
      <c r="A370" s="20" t="e">
        <f aca="false">1+A369</f>
        <v>#REF!</v>
      </c>
      <c r="B370" s="15" t="n">
        <v>249</v>
      </c>
      <c r="C370" s="15" t="s">
        <v>626</v>
      </c>
      <c r="D370" s="16" t="s">
        <v>627</v>
      </c>
      <c r="E370" s="15" t="s">
        <v>18</v>
      </c>
      <c r="F370" s="17" t="n">
        <v>13500</v>
      </c>
      <c r="G370" s="17"/>
      <c r="H370" s="19" t="str">
        <f aca="false">TRIM(D370)</f>
        <v>Veg - Onion large - China/ Hanh Tay TQ</v>
      </c>
    </row>
    <row r="371" customFormat="false" ht="16.4" hidden="false" customHeight="false" outlineLevel="0" collapsed="false">
      <c r="A371" s="20" t="e">
        <f aca="false">1+A370</f>
        <v>#REF!</v>
      </c>
      <c r="B371" s="15" t="n">
        <v>248</v>
      </c>
      <c r="C371" s="15" t="s">
        <v>628</v>
      </c>
      <c r="D371" s="16" t="s">
        <v>629</v>
      </c>
      <c r="E371" s="15" t="s">
        <v>18</v>
      </c>
      <c r="F371" s="17" t="n">
        <v>13500</v>
      </c>
      <c r="G371" s="17"/>
      <c r="H371" s="19" t="str">
        <f aca="false">TRIM(D371)</f>
        <v>Veg - Onion large Local / Hanh Tay Da lat</v>
      </c>
    </row>
    <row r="372" customFormat="false" ht="16.4" hidden="false" customHeight="false" outlineLevel="0" collapsed="false">
      <c r="A372" s="20" t="e">
        <f aca="false">1+A371</f>
        <v>#REF!</v>
      </c>
      <c r="B372" s="15" t="n">
        <v>250</v>
      </c>
      <c r="C372" s="15" t="s">
        <v>630</v>
      </c>
      <c r="D372" s="16" t="s">
        <v>631</v>
      </c>
      <c r="E372" s="15" t="s">
        <v>18</v>
      </c>
      <c r="F372" s="17" t="n">
        <v>35000</v>
      </c>
      <c r="G372" s="18"/>
      <c r="H372" s="19" t="str">
        <f aca="false">TRIM(D372)</f>
        <v>Veg - Onion Spring clean / Hanh la lam sach</v>
      </c>
    </row>
    <row r="373" customFormat="false" ht="16.4" hidden="false" customHeight="false" outlineLevel="0" collapsed="false">
      <c r="A373" s="20" t="e">
        <f aca="false">1+A372</f>
        <v>#REF!</v>
      </c>
      <c r="B373" s="15" t="n">
        <v>254</v>
      </c>
      <c r="C373" s="15" t="s">
        <v>632</v>
      </c>
      <c r="D373" s="16" t="s">
        <v>633</v>
      </c>
      <c r="E373" s="15" t="s">
        <v>18</v>
      </c>
      <c r="F373" s="17" t="n">
        <v>14000</v>
      </c>
      <c r="G373" s="18"/>
      <c r="H373" s="19" t="str">
        <f aca="false">TRIM(D373)</f>
        <v>Veg - Papaya Green/Du Du Xanh</v>
      </c>
    </row>
    <row r="374" customFormat="false" ht="16.4" hidden="false" customHeight="false" outlineLevel="0" collapsed="false">
      <c r="A374" s="20" t="e">
        <f aca="false">1+A373</f>
        <v>#REF!</v>
      </c>
      <c r="B374" s="15" t="n">
        <v>211</v>
      </c>
      <c r="C374" s="15" t="s">
        <v>634</v>
      </c>
      <c r="D374" s="16" t="s">
        <v>635</v>
      </c>
      <c r="E374" s="15" t="s">
        <v>18</v>
      </c>
      <c r="F374" s="17" t="n">
        <v>45000</v>
      </c>
      <c r="G374" s="18"/>
      <c r="H374" s="19" t="str">
        <f aca="false">TRIM(D374)</f>
        <v>Veg - pennywort/ rau ma</v>
      </c>
    </row>
    <row r="375" customFormat="false" ht="16.4" hidden="false" customHeight="false" outlineLevel="0" collapsed="false">
      <c r="A375" s="20" t="e">
        <f aca="false">1+A374</f>
        <v>#REF!</v>
      </c>
      <c r="B375" s="15" t="n">
        <v>213</v>
      </c>
      <c r="C375" s="15" t="s">
        <v>636</v>
      </c>
      <c r="D375" s="16" t="s">
        <v>637</v>
      </c>
      <c r="E375" s="15" t="s">
        <v>18</v>
      </c>
      <c r="F375" s="17" t="n">
        <v>135000</v>
      </c>
      <c r="G375" s="18"/>
      <c r="H375" s="19" t="str">
        <f aca="false">TRIM(D375)</f>
        <v>Veg - Pepper fresh/ Tieu xanh tuoi</v>
      </c>
    </row>
    <row r="376" customFormat="false" ht="16.4" hidden="false" customHeight="false" outlineLevel="0" collapsed="false">
      <c r="A376" s="20" t="e">
        <f aca="false">1+A375</f>
        <v>#REF!</v>
      </c>
      <c r="B376" s="15" t="n">
        <v>220</v>
      </c>
      <c r="C376" s="15" t="s">
        <v>638</v>
      </c>
      <c r="D376" s="16" t="s">
        <v>639</v>
      </c>
      <c r="E376" s="15" t="s">
        <v>18</v>
      </c>
      <c r="F376" s="17" t="n">
        <v>42000</v>
      </c>
      <c r="G376" s="18"/>
      <c r="H376" s="19" t="str">
        <f aca="false">TRIM(D376)</f>
        <v>Veg - Perilla/ Shiso / Purple Basil/Tia To</v>
      </c>
    </row>
    <row r="377" customFormat="false" ht="16.4" hidden="false" customHeight="false" outlineLevel="0" collapsed="false">
      <c r="A377" s="20" t="e">
        <f aca="false">1+A376</f>
        <v>#REF!</v>
      </c>
      <c r="B377" s="15" t="n">
        <v>237</v>
      </c>
      <c r="C377" s="15" t="s">
        <v>640</v>
      </c>
      <c r="D377" s="16" t="s">
        <v>641</v>
      </c>
      <c r="E377" s="15" t="s">
        <v>18</v>
      </c>
      <c r="F377" s="17" t="n">
        <v>28000</v>
      </c>
      <c r="G377" s="17"/>
      <c r="H377" s="19" t="str">
        <f aca="false">TRIM(D377)</f>
        <v>Veg - Pickled /Dua Chua</v>
      </c>
    </row>
    <row r="378" customFormat="false" ht="16.4" hidden="false" customHeight="false" outlineLevel="0" collapsed="false">
      <c r="A378" s="20" t="e">
        <f aca="false">1+A377</f>
        <v>#REF!</v>
      </c>
      <c r="B378" s="15" t="n">
        <v>219</v>
      </c>
      <c r="C378" s="15" t="s">
        <v>642</v>
      </c>
      <c r="D378" s="16" t="s">
        <v>643</v>
      </c>
      <c r="E378" s="15" t="s">
        <v>18</v>
      </c>
      <c r="F378" s="17" t="n">
        <v>55000</v>
      </c>
      <c r="G378" s="18"/>
      <c r="H378" s="19" t="str">
        <f aca="false">TRIM(D378)</f>
        <v>Veg - Piper Lolot/La Lot</v>
      </c>
    </row>
    <row r="379" customFormat="false" ht="16.4" hidden="false" customHeight="false" outlineLevel="0" collapsed="false">
      <c r="A379" s="20" t="e">
        <f aca="false">1+A378</f>
        <v>#REF!</v>
      </c>
      <c r="B379" s="15" t="n">
        <v>308</v>
      </c>
      <c r="C379" s="15" t="s">
        <v>644</v>
      </c>
      <c r="D379" s="16" t="s">
        <v>645</v>
      </c>
      <c r="E379" s="15" t="s">
        <v>18</v>
      </c>
      <c r="F379" s="17" t="n">
        <v>20000</v>
      </c>
      <c r="G379" s="18"/>
      <c r="H379" s="19" t="str">
        <f aca="false">TRIM(D379)</f>
        <v>Veg - Pokchoy/Cai Thia</v>
      </c>
    </row>
    <row r="380" customFormat="false" ht="16.4" hidden="false" customHeight="false" outlineLevel="0" collapsed="false">
      <c r="A380" s="20" t="e">
        <f aca="false">1+A379</f>
        <v>#REF!</v>
      </c>
      <c r="B380" s="15" t="n">
        <v>3733</v>
      </c>
      <c r="C380" s="15"/>
      <c r="D380" s="16" t="s">
        <v>646</v>
      </c>
      <c r="E380" s="15" t="s">
        <v>18</v>
      </c>
      <c r="F380" s="17" t="n">
        <v>35000</v>
      </c>
      <c r="G380" s="18"/>
      <c r="H380" s="19" t="str">
        <f aca="false">TRIM(D380)</f>
        <v>Veg - Polyscias fruticosa Leaves/ La Dinh Lang</v>
      </c>
    </row>
    <row r="381" customFormat="false" ht="16.4" hidden="false" customHeight="false" outlineLevel="0" collapsed="false">
      <c r="A381" s="20" t="e">
        <f aca="false">1+A380</f>
        <v>#REF!</v>
      </c>
      <c r="B381" s="15" t="n">
        <v>215</v>
      </c>
      <c r="C381" s="15" t="s">
        <v>647</v>
      </c>
      <c r="D381" s="16" t="s">
        <v>648</v>
      </c>
      <c r="E381" s="15" t="s">
        <v>18</v>
      </c>
      <c r="F381" s="17" t="n">
        <v>28000</v>
      </c>
      <c r="G381" s="18"/>
      <c r="H381" s="19" t="str">
        <f aca="false">TRIM(D381)</f>
        <v>Veg - Pot - Herbs / Rau day</v>
      </c>
    </row>
    <row r="382" customFormat="false" ht="16.4" hidden="false" customHeight="false" outlineLevel="0" collapsed="false">
      <c r="A382" s="20" t="e">
        <f aca="false">1+A381</f>
        <v>#REF!</v>
      </c>
      <c r="B382" s="15" t="n">
        <v>259</v>
      </c>
      <c r="C382" s="15" t="s">
        <v>649</v>
      </c>
      <c r="D382" s="16" t="s">
        <v>650</v>
      </c>
      <c r="E382" s="15" t="s">
        <v>18</v>
      </c>
      <c r="F382" s="17" t="n">
        <v>16000</v>
      </c>
      <c r="G382" s="18"/>
      <c r="H382" s="19" t="str">
        <f aca="false">TRIM(D382)</f>
        <v>Veg - Potato TQ/Khoai Tay TQ</v>
      </c>
    </row>
    <row r="383" customFormat="false" ht="16.4" hidden="false" customHeight="false" outlineLevel="0" collapsed="false">
      <c r="A383" s="20" t="e">
        <f aca="false">1+A382</f>
        <v>#REF!</v>
      </c>
      <c r="B383" s="15" t="n">
        <v>278</v>
      </c>
      <c r="C383" s="15" t="s">
        <v>651</v>
      </c>
      <c r="D383" s="16" t="s">
        <v>652</v>
      </c>
      <c r="E383" s="15" t="s">
        <v>18</v>
      </c>
      <c r="F383" s="17" t="n">
        <v>13000</v>
      </c>
      <c r="G383" s="17"/>
      <c r="H383" s="19" t="str">
        <f aca="false">TRIM(D383)</f>
        <v>Veg - Pumpkin/Bi Do</v>
      </c>
    </row>
    <row r="384" customFormat="false" ht="16.4" hidden="false" customHeight="false" outlineLevel="0" collapsed="false">
      <c r="A384" s="20" t="e">
        <f aca="false">1+A383</f>
        <v>#REF!</v>
      </c>
      <c r="B384" s="15" t="n">
        <v>251</v>
      </c>
      <c r="C384" s="15" t="s">
        <v>653</v>
      </c>
      <c r="D384" s="16" t="s">
        <v>654</v>
      </c>
      <c r="E384" s="15" t="s">
        <v>18</v>
      </c>
      <c r="F384" s="17" t="n">
        <v>25000</v>
      </c>
      <c r="G384" s="18"/>
      <c r="H384" s="19" t="str">
        <f aca="false">TRIM(D384)</f>
        <v>Veg - Purple Onion large/ Hanh Tay tim</v>
      </c>
    </row>
    <row r="385" customFormat="false" ht="16.4" hidden="false" customHeight="false" outlineLevel="0" collapsed="false">
      <c r="A385" s="20" t="e">
        <f aca="false">1+A384</f>
        <v>#REF!</v>
      </c>
      <c r="B385" s="15" t="n">
        <v>279</v>
      </c>
      <c r="C385" s="15" t="s">
        <v>655</v>
      </c>
      <c r="D385" s="16" t="s">
        <v>656</v>
      </c>
      <c r="E385" s="15" t="s">
        <v>18</v>
      </c>
      <c r="F385" s="17" t="n">
        <v>14000</v>
      </c>
      <c r="G385" s="18"/>
      <c r="H385" s="19" t="str">
        <f aca="false">TRIM(D385)</f>
        <v>Veg - Radish White/Cu Cai Trang</v>
      </c>
    </row>
    <row r="386" customFormat="false" ht="16.4" hidden="false" customHeight="false" outlineLevel="0" collapsed="false">
      <c r="A386" s="20" t="e">
        <f aca="false">1+A385</f>
        <v>#REF!</v>
      </c>
      <c r="B386" s="15" t="n">
        <v>244</v>
      </c>
      <c r="C386" s="15" t="s">
        <v>657</v>
      </c>
      <c r="D386" s="16" t="s">
        <v>658</v>
      </c>
      <c r="E386" s="15" t="s">
        <v>18</v>
      </c>
      <c r="F386" s="17" t="n">
        <v>22000</v>
      </c>
      <c r="G386" s="18"/>
      <c r="H386" s="19" t="str">
        <f aca="false">TRIM(D386)</f>
        <v>Veg - Root-Galangal /Rieng Cu</v>
      </c>
    </row>
    <row r="387" customFormat="false" ht="16.4" hidden="false" customHeight="false" outlineLevel="0" collapsed="false">
      <c r="A387" s="20" t="e">
        <f aca="false">1+A386</f>
        <v>#REF!</v>
      </c>
      <c r="B387" s="15" t="n">
        <v>222</v>
      </c>
      <c r="C387" s="15" t="s">
        <v>659</v>
      </c>
      <c r="D387" s="16" t="s">
        <v>660</v>
      </c>
      <c r="E387" s="15" t="s">
        <v>18</v>
      </c>
      <c r="F387" s="17" t="n">
        <v>60000</v>
      </c>
      <c r="G387" s="18"/>
      <c r="H387" s="19" t="str">
        <f aca="false">TRIM(D387)</f>
        <v>Veg - Salted radish / Cu Cai Muoi</v>
      </c>
    </row>
    <row r="388" customFormat="false" ht="16.4" hidden="false" customHeight="false" outlineLevel="0" collapsed="false">
      <c r="A388" s="20" t="e">
        <f aca="false">1+A387</f>
        <v>#REF!</v>
      </c>
      <c r="B388" s="15" t="n">
        <v>252</v>
      </c>
      <c r="C388" s="15" t="s">
        <v>661</v>
      </c>
      <c r="D388" s="16" t="s">
        <v>662</v>
      </c>
      <c r="E388" s="15" t="s">
        <v>18</v>
      </c>
      <c r="F388" s="17" t="n">
        <v>45000</v>
      </c>
      <c r="G388" s="18"/>
      <c r="H388" s="19" t="str">
        <f aca="false">TRIM(D388)</f>
        <v>Veg - Shallot/Hanh tim</v>
      </c>
    </row>
    <row r="389" customFormat="false" ht="16.4" hidden="false" customHeight="false" outlineLevel="0" collapsed="false">
      <c r="A389" s="20" t="e">
        <f aca="false">1+A388</f>
        <v>#REF!</v>
      </c>
      <c r="B389" s="15" t="n">
        <v>233</v>
      </c>
      <c r="C389" s="15" t="s">
        <v>663</v>
      </c>
      <c r="D389" s="16" t="s">
        <v>664</v>
      </c>
      <c r="E389" s="15" t="s">
        <v>18</v>
      </c>
      <c r="F389" s="17" t="n">
        <v>23000</v>
      </c>
      <c r="G389" s="17"/>
      <c r="H389" s="19" t="str">
        <f aca="false">TRIM(D389)</f>
        <v>Veg - Smooth Leaf/Rau Mong Toi</v>
      </c>
    </row>
    <row r="390" customFormat="false" ht="16.4" hidden="false" customHeight="false" outlineLevel="0" collapsed="false">
      <c r="A390" s="20" t="e">
        <f aca="false">1+A389</f>
        <v>#REF!</v>
      </c>
      <c r="B390" s="15" t="n">
        <v>3211</v>
      </c>
      <c r="C390" s="15"/>
      <c r="D390" s="16" t="s">
        <v>665</v>
      </c>
      <c r="E390" s="15" t="s">
        <v>323</v>
      </c>
      <c r="F390" s="17" t="n">
        <v>24000</v>
      </c>
      <c r="G390" s="18"/>
      <c r="H390" s="19" t="str">
        <f aca="false">TRIM(D390)</f>
        <v>Veg - Soft Tofu/ Dau hu non 500gr</v>
      </c>
    </row>
    <row r="391" customFormat="false" ht="16.4" hidden="false" customHeight="false" outlineLevel="0" collapsed="false">
      <c r="A391" s="20" t="e">
        <f aca="false">1+A390</f>
        <v>#REF!</v>
      </c>
      <c r="B391" s="15" t="n">
        <v>216</v>
      </c>
      <c r="C391" s="15" t="s">
        <v>666</v>
      </c>
      <c r="D391" s="16" t="s">
        <v>667</v>
      </c>
      <c r="E391" s="15" t="s">
        <v>18</v>
      </c>
      <c r="F391" s="17" t="n">
        <v>105000</v>
      </c>
      <c r="G391" s="18"/>
      <c r="H391" s="19" t="str">
        <f aca="false">TRIM(D391)</f>
        <v>Veg - soup creeper/ la giang</v>
      </c>
    </row>
    <row r="392" customFormat="false" ht="16.4" hidden="false" customHeight="false" outlineLevel="0" collapsed="false">
      <c r="A392" s="20" t="e">
        <f aca="false">1+A391</f>
        <v>#REF!</v>
      </c>
      <c r="B392" s="15" t="n">
        <v>265</v>
      </c>
      <c r="C392" s="15" t="s">
        <v>668</v>
      </c>
      <c r="D392" s="16" t="s">
        <v>669</v>
      </c>
      <c r="E392" s="15" t="s">
        <v>18</v>
      </c>
      <c r="F392" s="17" t="n">
        <v>55000</v>
      </c>
      <c r="G392" s="18"/>
      <c r="H392" s="19" t="str">
        <f aca="false">TRIM(D392)</f>
        <v>Veg - Spinach/Cai Bo Xoi</v>
      </c>
    </row>
    <row r="393" customFormat="false" ht="16.4" hidden="false" customHeight="false" outlineLevel="0" collapsed="false">
      <c r="A393" s="20" t="e">
        <f aca="false">1+A392</f>
        <v>#REF!</v>
      </c>
      <c r="B393" s="15" t="n">
        <v>207</v>
      </c>
      <c r="C393" s="15" t="s">
        <v>670</v>
      </c>
      <c r="D393" s="16" t="s">
        <v>671</v>
      </c>
      <c r="E393" s="15" t="s">
        <v>18</v>
      </c>
      <c r="F393" s="17" t="n">
        <v>22000</v>
      </c>
      <c r="G393" s="18"/>
      <c r="H393" s="19" t="str">
        <f aca="false">TRIM(D393)</f>
        <v>Veg - Spong Gourd/ muop huong</v>
      </c>
    </row>
    <row r="394" customFormat="false" ht="16.4" hidden="false" customHeight="false" outlineLevel="0" collapsed="false">
      <c r="A394" s="20" t="e">
        <f aca="false">1+A393</f>
        <v>#REF!</v>
      </c>
      <c r="B394" s="15" t="n">
        <v>305</v>
      </c>
      <c r="C394" s="15" t="s">
        <v>672</v>
      </c>
      <c r="D394" s="16" t="s">
        <v>673</v>
      </c>
      <c r="E394" s="15" t="s">
        <v>18</v>
      </c>
      <c r="F394" s="17" t="n">
        <v>18000</v>
      </c>
      <c r="G394" s="17"/>
      <c r="H394" s="19" t="str">
        <f aca="false">TRIM(D394)</f>
        <v>Veg - Squash/Bi dao xanh</v>
      </c>
    </row>
    <row r="395" customFormat="false" ht="16.4" hidden="false" customHeight="false" outlineLevel="0" collapsed="false">
      <c r="A395" s="20" t="e">
        <f aca="false">1+A394</f>
        <v>#REF!</v>
      </c>
      <c r="B395" s="15" t="n">
        <v>245</v>
      </c>
      <c r="C395" s="15" t="s">
        <v>674</v>
      </c>
      <c r="D395" s="16" t="s">
        <v>675</v>
      </c>
      <c r="E395" s="15" t="s">
        <v>18</v>
      </c>
      <c r="F395" s="17" t="n">
        <v>170000</v>
      </c>
      <c r="G395" s="18"/>
      <c r="H395" s="19" t="str">
        <f aca="false">TRIM(D395)</f>
        <v>Veg - Straw Mushroom/Nam rom</v>
      </c>
    </row>
    <row r="396" customFormat="false" ht="16.4" hidden="false" customHeight="false" outlineLevel="0" collapsed="false">
      <c r="A396" s="20" t="e">
        <f aca="false">1+A395</f>
        <v>#REF!</v>
      </c>
      <c r="B396" s="15" t="n">
        <v>1808</v>
      </c>
      <c r="C396" s="15"/>
      <c r="D396" s="16" t="s">
        <v>676</v>
      </c>
      <c r="E396" s="15" t="s">
        <v>18</v>
      </c>
      <c r="F396" s="17" t="n">
        <v>20000</v>
      </c>
      <c r="G396" s="18"/>
      <c r="H396" s="19" t="str">
        <f aca="false">TRIM(D396)</f>
        <v>Veg - Sweet potato leaves/ Rau lang</v>
      </c>
    </row>
    <row r="397" customFormat="false" ht="16.4" hidden="false" customHeight="false" outlineLevel="0" collapsed="false">
      <c r="A397" s="20" t="e">
        <f aca="false">1+A396</f>
        <v>#REF!</v>
      </c>
      <c r="B397" s="15" t="n">
        <v>2972</v>
      </c>
      <c r="C397" s="15"/>
      <c r="D397" s="16" t="s">
        <v>677</v>
      </c>
      <c r="E397" s="15" t="s">
        <v>18</v>
      </c>
      <c r="F397" s="17" t="n">
        <v>38000</v>
      </c>
      <c r="G397" s="18"/>
      <c r="H397" s="19" t="str">
        <f aca="false">TRIM(D397)</f>
        <v>Veg - Tamarin Fresh/Me Tuoi</v>
      </c>
    </row>
    <row r="398" customFormat="false" ht="16.4" hidden="false" customHeight="false" outlineLevel="0" collapsed="false">
      <c r="A398" s="20" t="e">
        <f aca="false">1+A397</f>
        <v>#REF!</v>
      </c>
      <c r="B398" s="15" t="n">
        <v>2978</v>
      </c>
      <c r="C398" s="15"/>
      <c r="D398" s="16" t="s">
        <v>678</v>
      </c>
      <c r="E398" s="15" t="s">
        <v>18</v>
      </c>
      <c r="F398" s="17" t="n">
        <v>38000</v>
      </c>
      <c r="G398" s="18"/>
      <c r="H398" s="19" t="str">
        <f aca="false">TRIM(D398)</f>
        <v>Veg - Tamarind/ me chua</v>
      </c>
    </row>
    <row r="399" customFormat="false" ht="16.4" hidden="false" customHeight="false" outlineLevel="0" collapsed="false">
      <c r="A399" s="20" t="e">
        <f aca="false">1+A398</f>
        <v>#REF!</v>
      </c>
      <c r="B399" s="15" t="n">
        <v>257</v>
      </c>
      <c r="C399" s="15" t="s">
        <v>679</v>
      </c>
      <c r="D399" s="16" t="s">
        <v>680</v>
      </c>
      <c r="E399" s="15" t="s">
        <v>18</v>
      </c>
      <c r="F399" s="17" t="n">
        <v>52000</v>
      </c>
      <c r="G399" s="18"/>
      <c r="H399" s="19" t="str">
        <f aca="false">TRIM(D399)</f>
        <v>Veg - Taro /Khoai Mon</v>
      </c>
    </row>
    <row r="400" customFormat="false" ht="16.4" hidden="false" customHeight="false" outlineLevel="0" collapsed="false">
      <c r="A400" s="20" t="e">
        <f aca="false">1+A399</f>
        <v>#REF!</v>
      </c>
      <c r="B400" s="15" t="n">
        <v>275</v>
      </c>
      <c r="C400" s="15" t="s">
        <v>681</v>
      </c>
      <c r="D400" s="16" t="s">
        <v>682</v>
      </c>
      <c r="E400" s="15" t="s">
        <v>18</v>
      </c>
      <c r="F400" s="17" t="n">
        <v>20000</v>
      </c>
      <c r="G400" s="17"/>
      <c r="H400" s="19" t="str">
        <f aca="false">TRIM(D400)</f>
        <v>Veg - Tomato / Ca Chua</v>
      </c>
    </row>
    <row r="401" customFormat="false" ht="16.4" hidden="false" customHeight="false" outlineLevel="0" collapsed="false">
      <c r="A401" s="20" t="e">
        <f aca="false">1+A400</f>
        <v>#REF!</v>
      </c>
      <c r="B401" s="15" t="n">
        <v>276</v>
      </c>
      <c r="C401" s="15" t="s">
        <v>683</v>
      </c>
      <c r="D401" s="16" t="s">
        <v>684</v>
      </c>
      <c r="E401" s="15" t="s">
        <v>18</v>
      </c>
      <c r="F401" s="17" t="n">
        <v>44000</v>
      </c>
      <c r="G401" s="17"/>
      <c r="H401" s="19" t="str">
        <f aca="false">TRIM(D401)</f>
        <v>Veg - Tomato cherry/ca chua bi</v>
      </c>
    </row>
    <row r="402" customFormat="false" ht="16.4" hidden="false" customHeight="false" outlineLevel="0" collapsed="false">
      <c r="A402" s="20" t="e">
        <f aca="false">1+A401</f>
        <v>#REF!</v>
      </c>
      <c r="B402" s="15" t="n">
        <v>218</v>
      </c>
      <c r="C402" s="15" t="s">
        <v>685</v>
      </c>
      <c r="D402" s="16" t="s">
        <v>686</v>
      </c>
      <c r="E402" s="15" t="s">
        <v>18</v>
      </c>
      <c r="F402" s="17" t="n">
        <v>100000</v>
      </c>
      <c r="G402" s="17"/>
      <c r="H402" s="19" t="str">
        <f aca="false">TRIM(D402)</f>
        <v>Veg - Tuber of coconut / Cu Hu Dua</v>
      </c>
    </row>
    <row r="403" customFormat="false" ht="16.4" hidden="false" customHeight="false" outlineLevel="0" collapsed="false">
      <c r="A403" s="20" t="e">
        <f aca="false">1+A402</f>
        <v>#REF!</v>
      </c>
      <c r="B403" s="15" t="n">
        <v>258</v>
      </c>
      <c r="C403" s="15" t="s">
        <v>687</v>
      </c>
      <c r="D403" s="16" t="s">
        <v>688</v>
      </c>
      <c r="E403" s="15" t="s">
        <v>18</v>
      </c>
      <c r="F403" s="17" t="n">
        <v>32000</v>
      </c>
      <c r="G403" s="18"/>
      <c r="H403" s="19" t="str">
        <f aca="false">TRIM(D403)</f>
        <v>Veg - Turmeric / Cu nghe</v>
      </c>
    </row>
    <row r="404" customFormat="false" ht="16.4" hidden="false" customHeight="false" outlineLevel="0" collapsed="false">
      <c r="A404" s="20" t="e">
        <f aca="false">1+A403</f>
        <v>#REF!</v>
      </c>
      <c r="B404" s="15" t="n">
        <v>301</v>
      </c>
      <c r="C404" s="15" t="s">
        <v>689</v>
      </c>
      <c r="D404" s="16" t="s">
        <v>690</v>
      </c>
      <c r="E404" s="15" t="s">
        <v>18</v>
      </c>
      <c r="F404" s="17" t="n">
        <v>60000</v>
      </c>
      <c r="G404" s="18"/>
      <c r="H404" s="19" t="str">
        <f aca="false">TRIM(D404)</f>
        <v>Veg - Violet Yam Root/ Khoai mo tim</v>
      </c>
    </row>
    <row r="405" customFormat="false" ht="16.4" hidden="false" customHeight="false" outlineLevel="0" collapsed="false">
      <c r="A405" s="20" t="e">
        <f aca="false">1+A404</f>
        <v>#REF!</v>
      </c>
      <c r="B405" s="15" t="n">
        <v>3587</v>
      </c>
      <c r="C405" s="15" t="s">
        <v>691</v>
      </c>
      <c r="D405" s="16" t="s">
        <v>692</v>
      </c>
      <c r="E405" s="15" t="s">
        <v>18</v>
      </c>
      <c r="F405" s="17" t="n">
        <v>20000</v>
      </c>
      <c r="G405" s="18"/>
      <c r="H405" s="19" t="str">
        <f aca="false">TRIM(D405)</f>
        <v>Veg - Water Celery/ Can nuoc</v>
      </c>
    </row>
    <row r="406" customFormat="false" ht="16.4" hidden="false" customHeight="false" outlineLevel="0" collapsed="false">
      <c r="A406" s="20" t="e">
        <f aca="false">1+A405</f>
        <v>#REF!</v>
      </c>
      <c r="B406" s="15" t="n">
        <v>261</v>
      </c>
      <c r="C406" s="15" t="s">
        <v>693</v>
      </c>
      <c r="D406" s="16" t="s">
        <v>694</v>
      </c>
      <c r="E406" s="15" t="s">
        <v>18</v>
      </c>
      <c r="F406" s="17" t="n">
        <v>43000</v>
      </c>
      <c r="G406" s="18"/>
      <c r="H406" s="19" t="str">
        <f aca="false">TRIM(D406)</f>
        <v>Veg - Zucchini Green/Bi Ngoi Xanh</v>
      </c>
    </row>
    <row r="407" customFormat="false" ht="16.4" hidden="false" customHeight="false" outlineLevel="0" collapsed="false">
      <c r="A407" s="20" t="e">
        <f aca="false">1+A406</f>
        <v>#REF!</v>
      </c>
      <c r="B407" s="15" t="n">
        <v>262</v>
      </c>
      <c r="C407" s="15" t="s">
        <v>695</v>
      </c>
      <c r="D407" s="16" t="s">
        <v>696</v>
      </c>
      <c r="E407" s="15" t="s">
        <v>18</v>
      </c>
      <c r="F407" s="17" t="n">
        <v>85000</v>
      </c>
      <c r="G407" s="18"/>
      <c r="H407" s="19" t="str">
        <f aca="false">TRIM(D407)</f>
        <v>Veg - Zucchini Yellow /Bi Ngoi Vang</v>
      </c>
    </row>
    <row r="408" customFormat="false" ht="16.4" hidden="false" customHeight="false" outlineLevel="0" collapsed="false">
      <c r="A408" s="20" t="e">
        <f aca="false">1+A407</f>
        <v>#REF!</v>
      </c>
      <c r="B408" s="15" t="n">
        <v>430</v>
      </c>
      <c r="C408" s="15" t="s">
        <v>697</v>
      </c>
      <c r="D408" s="16" t="s">
        <v>698</v>
      </c>
      <c r="E408" s="15" t="s">
        <v>18</v>
      </c>
      <c r="F408" s="17" t="n">
        <v>35000</v>
      </c>
      <c r="G408" s="18"/>
      <c r="H408" s="19" t="str">
        <f aca="false">TRIM(D408)</f>
        <v>Veg Aloe vera Whole/nha dam nguyen cay</v>
      </c>
    </row>
    <row r="409" customFormat="false" ht="16.4" hidden="false" customHeight="false" outlineLevel="0" collapsed="false">
      <c r="A409" s="20" t="e">
        <f aca="false">1+A408</f>
        <v>#REF!</v>
      </c>
      <c r="B409" s="15" t="n">
        <v>3731</v>
      </c>
      <c r="C409" s="15"/>
      <c r="D409" s="16" t="s">
        <v>699</v>
      </c>
      <c r="E409" s="15" t="s">
        <v>18</v>
      </c>
      <c r="F409" s="17" t="n">
        <v>45000</v>
      </c>
      <c r="G409" s="18"/>
      <c r="H409" s="19" t="str">
        <f aca="false">TRIM(D409)</f>
        <v>Veg- Apricot Leaf/ La Mo</v>
      </c>
    </row>
    <row r="410" customFormat="false" ht="16.4" hidden="false" customHeight="false" outlineLevel="0" collapsed="false">
      <c r="A410" s="20" t="e">
        <f aca="false">1+A409</f>
        <v>#REF!</v>
      </c>
      <c r="B410" s="15" t="n">
        <v>3643</v>
      </c>
      <c r="C410" s="15"/>
      <c r="D410" s="16" t="s">
        <v>700</v>
      </c>
      <c r="E410" s="15" t="s">
        <v>18</v>
      </c>
      <c r="F410" s="17" t="n">
        <v>19000</v>
      </c>
      <c r="G410" s="18"/>
      <c r="H410" s="19" t="str">
        <f aca="false">TRIM(D410)</f>
        <v>Veg- Bok choy/ Cai Chip</v>
      </c>
    </row>
    <row r="411" customFormat="false" ht="16.4" hidden="false" customHeight="false" outlineLevel="0" collapsed="false">
      <c r="A411" s="20" t="e">
        <f aca="false">1+A410</f>
        <v>#REF!</v>
      </c>
      <c r="B411" s="15" t="n">
        <v>461</v>
      </c>
      <c r="C411" s="15" t="s">
        <v>701</v>
      </c>
      <c r="D411" s="16" t="s">
        <v>702</v>
      </c>
      <c r="E411" s="15" t="s">
        <v>18</v>
      </c>
      <c r="F411" s="17" t="n">
        <v>14000</v>
      </c>
      <c r="G411" s="18"/>
      <c r="H411" s="19" t="str">
        <f aca="false">TRIM(D411)</f>
        <v>Veg -carrot/ ca rot</v>
      </c>
    </row>
    <row r="412" customFormat="false" ht="16.4" hidden="false" customHeight="false" outlineLevel="0" collapsed="false">
      <c r="A412" s="20" t="e">
        <f aca="false">1+A411</f>
        <v>#REF!</v>
      </c>
      <c r="B412" s="15" t="n">
        <v>429</v>
      </c>
      <c r="C412" s="15" t="s">
        <v>703</v>
      </c>
      <c r="D412" s="16" t="s">
        <v>704</v>
      </c>
      <c r="E412" s="15" t="s">
        <v>18</v>
      </c>
      <c r="F412" s="17" t="n">
        <v>72000</v>
      </c>
      <c r="G412" s="18"/>
      <c r="H412" s="19" t="str">
        <f aca="false">TRIM(D412)</f>
        <v>Veg Lotus Root Cleaned/ ngo sen tuoi</v>
      </c>
    </row>
    <row r="413" customFormat="false" ht="16.4" hidden="false" customHeight="false" outlineLevel="0" collapsed="false">
      <c r="A413" s="20" t="e">
        <f aca="false">1+A412</f>
        <v>#REF!</v>
      </c>
      <c r="B413" s="15" t="n">
        <v>3737</v>
      </c>
      <c r="C413" s="15" t="s">
        <v>705</v>
      </c>
      <c r="D413" s="16" t="s">
        <v>706</v>
      </c>
      <c r="E413" s="15" t="s">
        <v>18</v>
      </c>
      <c r="F413" s="17" t="n">
        <v>170000</v>
      </c>
      <c r="G413" s="18"/>
      <c r="H413" s="19" t="str">
        <f aca="false">TRIM(D413)</f>
        <v>veg-White Ganoderma/ Nam Linh Chi trang</v>
      </c>
    </row>
    <row r="414" customFormat="false" ht="16.4" hidden="false" customHeight="false" outlineLevel="0" collapsed="false">
      <c r="A414" s="20" t="e">
        <f aca="false">1+A413</f>
        <v>#REF!</v>
      </c>
      <c r="B414" s="15" t="n">
        <v>331</v>
      </c>
      <c r="C414" s="15" t="s">
        <v>707</v>
      </c>
      <c r="D414" s="16" t="s">
        <v>708</v>
      </c>
      <c r="E414" s="15" t="s">
        <v>18</v>
      </c>
      <c r="F414" s="17" t="n">
        <v>56000</v>
      </c>
      <c r="G414" s="18"/>
      <c r="H414" s="19" t="str">
        <f aca="false">TRIM(D414)</f>
        <v>Vietnam Shallot peeled/ Hanh tim lot Viet Nam</v>
      </c>
    </row>
    <row r="415" customFormat="false" ht="16.4" hidden="false" customHeight="false" outlineLevel="0" collapsed="false">
      <c r="A415" s="20" t="e">
        <f aca="false">1+A414</f>
        <v>#REF!</v>
      </c>
      <c r="B415" s="15" t="n">
        <v>1791</v>
      </c>
      <c r="C415" s="15"/>
      <c r="D415" s="16" t="s">
        <v>709</v>
      </c>
      <c r="E415" s="15" t="s">
        <v>111</v>
      </c>
      <c r="F415" s="17" t="n">
        <v>8000</v>
      </c>
      <c r="G415" s="18"/>
      <c r="H415" s="19" t="str">
        <f aca="false">TRIM(D415)</f>
        <v>Vinamilk yogurt Fruit 100g/ Sua chua vinamilk trai cay</v>
      </c>
    </row>
    <row r="416" customFormat="false" ht="16.4" hidden="false" customHeight="false" outlineLevel="0" collapsed="false">
      <c r="A416" s="20" t="e">
        <f aca="false">1+A415</f>
        <v>#REF!</v>
      </c>
      <c r="B416" s="15" t="n">
        <v>2103</v>
      </c>
      <c r="C416" s="15"/>
      <c r="D416" s="16" t="s">
        <v>710</v>
      </c>
      <c r="E416" s="15" t="s">
        <v>111</v>
      </c>
      <c r="F416" s="17" t="n">
        <v>6800</v>
      </c>
      <c r="G416" s="18"/>
      <c r="H416" s="19" t="str">
        <f aca="false">TRIM(D416)</f>
        <v>Vinamilk yogurt has sugar/ Sua chua vinamilk co duong</v>
      </c>
    </row>
    <row r="417" customFormat="false" ht="16.4" hidden="false" customHeight="false" outlineLevel="0" collapsed="false">
      <c r="A417" s="20" t="e">
        <f aca="false">1+A416</f>
        <v>#REF!</v>
      </c>
      <c r="B417" s="15" t="n">
        <v>1792</v>
      </c>
      <c r="C417" s="15"/>
      <c r="D417" s="16" t="s">
        <v>711</v>
      </c>
      <c r="E417" s="15" t="s">
        <v>111</v>
      </c>
      <c r="F417" s="17" t="n">
        <v>6800</v>
      </c>
      <c r="G417" s="18"/>
      <c r="H417" s="19" t="str">
        <f aca="false">TRIM(D417)</f>
        <v>Vinamilk yogurt no sugar 100g/ Sua chua vinamilk khong duong</v>
      </c>
    </row>
    <row r="418" customFormat="false" ht="16.4" hidden="false" customHeight="false" outlineLevel="0" collapsed="false">
      <c r="A418" s="20" t="e">
        <f aca="false">1+A417</f>
        <v>#REF!</v>
      </c>
      <c r="B418" s="15" t="n">
        <v>151</v>
      </c>
      <c r="C418" s="15" t="s">
        <v>712</v>
      </c>
      <c r="D418" s="16" t="s">
        <v>713</v>
      </c>
      <c r="E418" s="15" t="s">
        <v>23</v>
      </c>
      <c r="F418" s="17" t="n">
        <v>44000</v>
      </c>
      <c r="G418" s="18"/>
      <c r="H418" s="19" t="str">
        <f aca="false">TRIM(D418)</f>
        <v>Vinegar White 1L/ Dam Trang Coroli 1L</v>
      </c>
    </row>
    <row r="419" customFormat="false" ht="16.4" hidden="false" customHeight="false" outlineLevel="0" collapsed="false">
      <c r="A419" s="20" t="e">
        <f aca="false">1+A418</f>
        <v>#REF!</v>
      </c>
      <c r="B419" s="15" t="n">
        <v>1955</v>
      </c>
      <c r="C419" s="15"/>
      <c r="D419" s="16" t="s">
        <v>714</v>
      </c>
      <c r="E419" s="15" t="s">
        <v>18</v>
      </c>
      <c r="F419" s="17" t="n">
        <v>30000</v>
      </c>
      <c r="G419" s="18"/>
      <c r="H419" s="19" t="str">
        <f aca="false">TRIM(D419)</f>
        <v>whole banana corn/ Bap chuoi nguyen trai</v>
      </c>
    </row>
    <row r="420" customFormat="false" ht="16.4" hidden="false" customHeight="false" outlineLevel="0" collapsed="false">
      <c r="A420" s="20" t="e">
        <f aca="false">1+A419</f>
        <v>#REF!</v>
      </c>
      <c r="B420" s="15" t="n">
        <v>368</v>
      </c>
      <c r="C420" s="15" t="s">
        <v>715</v>
      </c>
      <c r="D420" s="16" t="s">
        <v>716</v>
      </c>
      <c r="E420" s="15" t="s">
        <v>18</v>
      </c>
      <c r="F420" s="17" t="n">
        <v>250000</v>
      </c>
      <c r="G420" s="18"/>
      <c r="H420" s="19" t="str">
        <f aca="false">TRIM(D420)</f>
        <v>Yellow Cockle / So duong 10-12con/kg</v>
      </c>
    </row>
    <row r="421" customFormat="false" ht="16.4" hidden="false" customHeight="false" outlineLevel="0" collapsed="false">
      <c r="A421" s="20" t="e">
        <f aca="false">1+A420</f>
        <v>#REF!</v>
      </c>
      <c r="B421" s="15" t="n">
        <v>2389</v>
      </c>
      <c r="C421" s="15"/>
      <c r="D421" s="16" t="s">
        <v>717</v>
      </c>
      <c r="E421" s="15" t="s">
        <v>18</v>
      </c>
      <c r="F421" s="17" t="n">
        <v>40000</v>
      </c>
      <c r="G421" s="17"/>
      <c r="H421" s="19" t="str">
        <f aca="false">TRIM(D421)</f>
        <v>Yellow melon/ Dua luoi dai vo vang ruot cam</v>
      </c>
    </row>
    <row r="422" customFormat="false" ht="16.4" hidden="false" customHeight="false" outlineLevel="0" collapsed="false">
      <c r="A422" s="18"/>
      <c r="B422" s="18"/>
      <c r="C422" s="21"/>
      <c r="D422" s="21" t="s">
        <v>718</v>
      </c>
      <c r="E422" s="21"/>
      <c r="F422" s="21" t="n">
        <v>39000</v>
      </c>
      <c r="G422" s="18"/>
      <c r="H422" s="19"/>
    </row>
    <row r="423" customFormat="false" ht="16.4" hidden="false" customHeight="false" outlineLevel="0" collapsed="false">
      <c r="A423" s="18"/>
      <c r="B423" s="18"/>
      <c r="C423" s="21" t="n">
        <v>121001</v>
      </c>
      <c r="D423" s="21" t="s">
        <v>719</v>
      </c>
      <c r="E423" s="21" t="s">
        <v>18</v>
      </c>
      <c r="F423" s="21"/>
      <c r="G423" s="18"/>
      <c r="H423" s="19"/>
    </row>
    <row r="424" customFormat="false" ht="16.4" hidden="false" customHeight="false" outlineLevel="0" collapsed="false">
      <c r="A424" s="18"/>
      <c r="B424" s="18"/>
      <c r="C424" s="21" t="n">
        <v>153001</v>
      </c>
      <c r="D424" s="21" t="s">
        <v>720</v>
      </c>
      <c r="E424" s="21" t="s">
        <v>18</v>
      </c>
      <c r="F424" s="21" t="n">
        <v>19000</v>
      </c>
      <c r="G424" s="18"/>
      <c r="H424" s="19"/>
    </row>
    <row r="425" customFormat="false" ht="16.4" hidden="false" customHeight="false" outlineLevel="0" collapsed="false">
      <c r="A425" s="18"/>
      <c r="B425" s="18"/>
      <c r="C425" s="21" t="n">
        <v>131065</v>
      </c>
      <c r="D425" s="21" t="s">
        <v>721</v>
      </c>
      <c r="E425" s="21" t="s">
        <v>18</v>
      </c>
      <c r="F425" s="21" t="n">
        <v>750000</v>
      </c>
      <c r="G425" s="18"/>
      <c r="H425" s="19"/>
    </row>
    <row r="426" customFormat="false" ht="16.4" hidden="false" customHeight="false" outlineLevel="0" collapsed="false">
      <c r="A426" s="18"/>
      <c r="B426" s="18"/>
      <c r="C426" s="21"/>
      <c r="D426" s="21" t="s">
        <v>722</v>
      </c>
      <c r="E426" s="21"/>
      <c r="F426" s="21" t="n">
        <v>35000</v>
      </c>
      <c r="G426" s="18"/>
      <c r="H426" s="19"/>
    </row>
    <row r="427" customFormat="false" ht="16.4" hidden="false" customHeight="false" outlineLevel="0" collapsed="false">
      <c r="A427" s="18"/>
      <c r="B427" s="18"/>
      <c r="C427" s="21" t="n">
        <v>121087</v>
      </c>
      <c r="D427" s="21" t="s">
        <v>723</v>
      </c>
      <c r="E427" s="21" t="s">
        <v>18</v>
      </c>
      <c r="F427" s="21" t="n">
        <v>210000</v>
      </c>
      <c r="G427" s="18"/>
      <c r="H427" s="19"/>
    </row>
    <row r="428" customFormat="false" ht="16.4" hidden="false" customHeight="false" outlineLevel="0" collapsed="false">
      <c r="A428" s="18"/>
      <c r="B428" s="18"/>
      <c r="C428" s="18"/>
      <c r="D428" s="16" t="s">
        <v>724</v>
      </c>
      <c r="E428" s="21" t="s">
        <v>18</v>
      </c>
      <c r="F428" s="18" t="n">
        <v>170000</v>
      </c>
      <c r="G428" s="18"/>
      <c r="H428" s="19"/>
    </row>
    <row r="429" customFormat="false" ht="16.4" hidden="false" customHeight="false" outlineLevel="0" collapsed="false">
      <c r="A429" s="18"/>
      <c r="B429" s="18"/>
      <c r="C429" s="18"/>
      <c r="D429" s="16" t="s">
        <v>725</v>
      </c>
      <c r="E429" s="18"/>
      <c r="F429" s="18"/>
      <c r="G429" s="18"/>
      <c r="H429" s="19"/>
    </row>
    <row r="430" customFormat="false" ht="16.4" hidden="false" customHeight="false" outlineLevel="0" collapsed="false">
      <c r="A430" s="18"/>
      <c r="B430" s="18"/>
      <c r="C430" s="18"/>
      <c r="D430" s="16" t="s">
        <v>726</v>
      </c>
      <c r="E430" s="21" t="s">
        <v>18</v>
      </c>
      <c r="F430" s="18" t="n">
        <v>30000</v>
      </c>
      <c r="G430" s="18"/>
      <c r="H430" s="19"/>
    </row>
    <row r="431" customFormat="false" ht="16.4" hidden="false" customHeight="false" outlineLevel="0" collapsed="false">
      <c r="A431" s="18"/>
      <c r="B431" s="18"/>
      <c r="C431" s="18"/>
      <c r="D431" s="16" t="s">
        <v>727</v>
      </c>
      <c r="E431" s="18"/>
      <c r="F431" s="18" t="n">
        <v>950</v>
      </c>
      <c r="G431" s="18"/>
      <c r="H431" s="19"/>
    </row>
    <row r="432" customFormat="false" ht="15" hidden="false" customHeight="false" outlineLevel="0" collapsed="false">
      <c r="A432" s="18"/>
      <c r="B432" s="18"/>
      <c r="C432" s="18"/>
      <c r="D432" s="16"/>
      <c r="E432" s="18"/>
      <c r="F432" s="18"/>
      <c r="G432" s="18"/>
      <c r="H432" s="19"/>
    </row>
    <row r="433" customFormat="false" ht="15" hidden="false" customHeight="false" outlineLevel="0" collapsed="false">
      <c r="A433" s="18"/>
      <c r="B433" s="18"/>
      <c r="C433" s="18"/>
      <c r="D433" s="16"/>
      <c r="E433" s="18"/>
      <c r="F433" s="18"/>
      <c r="G433" s="18"/>
      <c r="H433" s="19"/>
    </row>
    <row r="434" customFormat="false" ht="15" hidden="false" customHeight="false" outlineLevel="0" collapsed="false">
      <c r="A434" s="18"/>
      <c r="B434" s="18"/>
      <c r="C434" s="18"/>
      <c r="D434" s="16"/>
      <c r="E434" s="18"/>
      <c r="F434" s="18"/>
      <c r="G434" s="18"/>
      <c r="H434" s="19"/>
    </row>
    <row r="435" customFormat="false" ht="15" hidden="false" customHeight="false" outlineLevel="0" collapsed="false">
      <c r="A435" s="22"/>
      <c r="B435" s="22"/>
      <c r="C435" s="22"/>
      <c r="D435" s="22"/>
      <c r="E435" s="22"/>
      <c r="F435" s="22"/>
      <c r="G435" s="23"/>
    </row>
    <row r="436" customFormat="false" ht="15" hidden="false" customHeight="false" outlineLevel="0" collapsed="false">
      <c r="E436" s="24" t="s">
        <v>728</v>
      </c>
      <c r="F436" s="24"/>
      <c r="G436" s="25"/>
    </row>
  </sheetData>
  <autoFilter ref="A9:G427"/>
  <mergeCells count="6">
    <mergeCell ref="A1:E1"/>
    <mergeCell ref="A2:E2"/>
    <mergeCell ref="A3:E3"/>
    <mergeCell ref="A5:G5"/>
    <mergeCell ref="A6:G6"/>
    <mergeCell ref="A7:G7"/>
  </mergeCells>
  <conditionalFormatting sqref="D1:D1048576">
    <cfRule type="duplicateValues" priority="2" aboveAverage="0" equalAverage="0" bottom="0" percent="0" rank="0" text="" dxfId="3"/>
  </conditionalFormatting>
  <conditionalFormatting sqref="B557:B560">
    <cfRule type="duplicateValues" priority="3" aboveAverage="0" equalAverage="0" bottom="0" percent="0" rank="0" text="" dxfId="4"/>
    <cfRule type="duplicateValues" priority="4" aboveAverage="0" equalAverage="0" bottom="0" percent="0" rank="0" text="" dxfId="5"/>
    <cfRule type="duplicateValues" priority="5" aboveAverage="0" equalAverage="0" bottom="0" percent="0" rank="0" text="" dxfId="6"/>
    <cfRule type="duplicateValues" priority="6" aboveAverage="0" equalAverage="0" bottom="0" percent="0" rank="0" text="" dxfId="7"/>
    <cfRule type="duplicateValues" priority="7" aboveAverage="0" equalAverage="0" bottom="0" percent="0" rank="0" text="" dxfId="8"/>
    <cfRule type="duplicateValues" priority="8" aboveAverage="0" equalAverage="0" bottom="0" percent="0" rank="0" text="" dxfId="9"/>
  </conditionalFormatting>
  <conditionalFormatting sqref="B435:B553 B10:B421">
    <cfRule type="duplicateValues" priority="9" aboveAverage="0" equalAverage="0" bottom="0" percent="0" rank="0" text="" dxfId="10"/>
    <cfRule type="duplicateValues" priority="10" aboveAverage="0" equalAverage="0" bottom="0" percent="0" rank="0" text="" dxfId="1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2026-04-22T17:12:43Z</dcterms:created>
  <dc:creator/>
  <dc:description/>
  <dc:language>en-US</dc:language>
  <cp:lastModifiedBy/>
  <dcterms:modified xsi:type="dcterms:W3CDTF">2026-04-22T17:13:13Z</dcterms:modified>
  <cp:revision>1</cp:revision>
  <dc:subject/>
  <dc:title/>
</cp:coreProperties>
</file>